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DCS_numerator_by_BEA" sheetId="3" state="visible" r:id="rId3"/>
    <sheet name="2_DCS_denominator_by_BEA" sheetId="4" state="visible" r:id="rId4"/>
    <sheet name="3_ESoP_RoUS_exports_by_BEA" sheetId="5" state="visible" r:id="rId5"/>
    <sheet name="4_ESoP_intl_exports_by_BEA" sheetId="6" state="visible" r:id="rId6"/>
    <sheet name="5_Exp_total_by_BEA" sheetId="7" state="visible" r:id="rId7"/>
    <sheet name="Src_Stateior_SoI_DomUse" sheetId="8" state="visible" r:id="rId8"/>
    <sheet name="Src_Stateior_SoI_TotUse" sheetId="9" state="visible" r:id="rId9"/>
    <sheet name="Src_Disagg_EIA_coal" sheetId="10" state="visible" r:id="rId10"/>
    <sheet name="Src_Disagg_heuristics" sheetId="11" state="visible" r:id="rId11"/>
    <sheet name="Crosswalk_BEA_to_ISIC" sheetId="12" state="visible" r:id="rId12"/>
    <sheet name="State_disagg_splits" sheetId="13" state="visible" r:id="rId13"/>
    <sheet name="NAICS_to_ISIC_Key" sheetId="14" state="visible" r:id="rId14"/>
    <sheet name="6_Calc_DCS_num_ISIC" sheetId="15" state="visible" r:id="rId15"/>
    <sheet name="7_Calc_DCS_den_ISIC" sheetId="16" state="visible" r:id="rId16"/>
    <sheet name="8_Calc_Exp_ISIC" sheetId="17" state="visible" r:id="rId17"/>
    <sheet name="9_Output_by_ISIC" sheetId="18" state="visible" r:id="rId18"/>
    <sheet name="9b_DCS_overrides" sheetId="19" state="visible" r:id="rId19"/>
    <sheet name="9c_ESoP_overrides" sheetId="20" state="visible" r:id="rId20"/>
    <sheet name="10_Calc_DCS_ratio" sheetId="21" state="visible" r:id="rId21"/>
    <sheet name="11_Calc_ESoP_ratio" sheetId="22" state="visible" r:id="rId22"/>
    <sheet name="BDCSoCbIC" sheetId="23" state="visible" r:id="rId23"/>
    <sheet name="BESoP" sheetId="24" state="visible" r:id="rId24"/>
  </sheets>
  <calcPr calcId="191029" fullCalcOnLoad="1"/>
</workbook>
</file>

<file path=xl/sharedStrings.xml><?xml version="1.0" encoding="utf-8"?>
<sst xmlns="http://schemas.openxmlformats.org/spreadsheetml/2006/main" count="613" uniqueCount="613">
  <si>
    <t xml:space="preserve">BDCSoCbIC - BAU Domestic Content Share by ISIC Code</t>
  </si>
  <si>
    <t xml:space="preserve"/>
  </si>
  <si>
    <t xml:space="preserve">State: Arkansas (AR)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</si>
  <si>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</si>
  <si>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</si>
  <si>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</si>
  <si>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For each 42-ISIC commodity i, domestic content share =</t>
  </si>
  <si>
    <t xml:space="preserve">    DCS(i) = SoI-produced-consumed-in-SoI(i)</t>
  </si>
  <si>
    <t xml:space="preserve">             / total-consumed-in-SoI(i)</t>
  </si>
  <si>
    <t xml:space="preserve">where:</t>
  </si>
  <si>
    <t xml:space="preserve">  numerator   = rowSums(DomesticUse[i/US-&lt;ST&gt;, j/US-&lt;ST&gt;])</t>
  </si>
  <si>
    <t xml:space="preserve">  denominator = rowSums(Use[i/US-&lt;ST&gt;, j/US-&lt;ST&gt;]) +</t>
  </si>
  <si>
    <t xml:space="preserve">                rowSums(Use[i/RoUS, j/US-&lt;ST&gt;])</t>
  </si>
  <si>
    <t xml:space="preserve">The denominator captures total consumption of commodity i in the</t>
  </si>
  <si>
    <t xml:space="preserve">state from all sources: in-state production, out-of-state US</t>
  </si>
  <si>
    <t xml:space="preserve">production, and international imports (implicit in Use).</t>
  </si>
  <si>
    <t xml:space="preserve">EIA-anchored override (coal, ISIC 05): stateior's pooled trade</t>
  </si>
  <si>
    <t xml:space="preserve">allocation creates fictitious interstate cross-hauling that badly</t>
  </si>
  <si>
    <t xml:space="preserve">mis-states coal domestic content (both directions, e.g. TN 0.565 vs</t>
  </si>
  <si>
    <t xml:space="preserve">~0.04 true; WY 0.627 vs ~1.0). DCS[05] is therefore replaced by the</t>
  </si>
  <si>
    <t xml:space="preserve">physical commodity balance min(production, consumption)/consumption</t>
  </si>
  <si>
    <t xml:space="preserve">(own-use-first) from EIA-7A production + SEDS CLTCP consumption, both</t>
  </si>
  <si>
    <t xml:space="preserve">in short tons of the same vintage. The override value + source appear</t>
  </si>
  <si>
    <t xml:space="preserve">on the 9b_DCS_EIA_override tab and are applied by formula in the final</t>
  </si>
  <si>
    <t xml:space="preserve">DCS column. See notes/energy_dcs_override.md (incl. limitations, e.g.</t>
  </si>
  <si>
    <t xml:space="preserve">met-vs-steam coal mix in AL-type states).</t>
  </si>
  <si>
    <t xml:space="preserve">Values are fractions in [0, 1]. Unchanged from output; no deflator.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</si>
  <si>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</si>
  <si>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</si>
  <si>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</si>
  <si>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</si>
  <si>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</si>
  <si>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</si>
  <si>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</si>
  <si>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</si>
  <si>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</si>
  <si>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</si>
  <si>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</si>
  <si>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</si>
  <si>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</si>
  <si>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</si>
  <si>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</si>
  <si>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</si>
  <si>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</si>
  <si>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</si>
  <si>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</si>
  <si>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</si>
  <si>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</si>
  <si>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</si>
  <si>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</si>
  <si>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</si>
  <si>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</si>
  <si>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</si>
  <si>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</si>
  <si>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</si>
  <si>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</si>
  <si>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</si>
  <si>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</si>
  <si>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</si>
  <si>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</si>
  <si>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</si>
  <si>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</si>
  <si>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</si>
  <si>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</si>
  <si>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</si>
  <si>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</si>
  <si>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</si>
  <si>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</si>
  <si>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</si>
  <si>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</si>
  <si>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</si>
  <si>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</si>
  <si>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</si>
  <si>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</si>
  <si>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</si>
  <si>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</si>
  <si>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</si>
  <si>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</si>
  <si>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Both outputs are FORMULA-DERIVED from the per-BEA intermediate tabs:</t>
  </si>
  <si>
    <t xml:space="preserve">aggregate to 42 ISIC via the Crosswalk tab, ratio with the Keys epsilon</t>
  </si>
  <si>
    <t xml:space="preserve">floor, clamp to [0,1]. Edit an intermediate cell and they recompute.</t>
  </si>
  <si>
    <t xml:space="preserve">Note: the four per-BEA intermediates (tabs 1-4) are pipeline VALUES -</t>
  </si>
  <si>
    <t xml:space="preserve">they row-sum the TWO-REGION Use/DomesticUse tables (SoI + RoUS blocks),</t>
  </si>
  <si>
    <t xml:space="preserve">but only the SoI blocks are embedded here, so they cannot be reproduced</t>
  </si>
  <si>
    <t xml:space="preserve">in-sheet. The Src_ Use tabs are context/provenance. 9_Output_by_ISIC is</t>
  </si>
  <si>
    <t xml:space="preserve">also a pipeline value (= BObIC output row: 2012 USD, incl. OCS</t>
  </si>
  <si>
    <t xml:space="preserve">attribution for LA/TX/AL/MS).</t>
  </si>
  <si>
    <t xml:space="preserve">Tabs:</t>
  </si>
  <si>
    <t xml:space="preserve">  - About / Keys</t>
  </si>
  <si>
    <t xml:space="preserve">  - 1_DCS_numerator_by_BEA / 2_DCS_denominator_by_BEA (pipeline values)</t>
  </si>
  <si>
    <t xml:space="preserve">  - 3_ESoP_RoUS_exports_by_BEA / 4_ESoP_intl_exports_by_BEA (pipeline values)</t>
  </si>
  <si>
    <t xml:space="preserve">  - 5_Exp_total_by_BEA = tab3 + tab4 (formulas)</t>
  </si>
  <si>
    <t xml:space="preserve">  - Src_Stateior_SoI_DomUse / _TotUse (context)</t>
  </si>
  <si>
    <t xml:space="preserve">  - Crosswalk / splits / NAICS key</t>
  </si>
  <si>
    <t xml:space="preserve">  - 6/7_Calc_* - crosswalk-aggregate DCS num + den (nominal; units cancel)</t>
  </si>
  <si>
    <t xml:space="preserve">  - 8_Calc_Exp_ISIC - aggregate exports AND deflate to 2012 USD, so the</t>
  </si>
  <si>
    <t xml:space="preserve">    ESoP ratio is unit-consistent with its denominator</t>
  </si>
  <si>
    <t xml:space="preserve">  - 9_Output_by_ISIC - ESoP denominator (pipeline value, 2012 USD; matches BObIC.csv)</t>
  </si>
  <si>
    <t xml:space="preserve">  - 9b_DCS_overrides / 9c_ESoP_overrides - EIA-anchored energy balances</t>
  </si>
  <si>
    <t xml:space="preserve">    (coal 05, oil&amp;gas 06) + the 36T39 physical-locality assumption</t>
  </si>
  <si>
    <t xml:space="preserve">    (DCS=1, ESoP=0); each row carries its source/rationale</t>
  </si>
  <si>
    <t xml:space="preserve">  - 10_Calc_DCS_ratio / 11_Calc_ESoP_ratio - ratio + epsilon floor + clamp;</t>
  </si>
  <si>
    <t xml:space="preserve">    final columns apply the overrides where present</t>
  </si>
  <si>
    <t xml:space="preserve">  - BDCSoCbIC / BESoP - final fraction rows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</si>
  <si>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</si>
  <si>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</si>
  <si>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</si>
  <si>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</si>
  <si>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</si>
  <si>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</si>
  <si>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</si>
  <si>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</si>
  <si>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</si>
  <si>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</si>
  <si>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</si>
  <si>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</si>
  <si>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</si>
  <si>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</si>
  <si>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</si>
  <si>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</si>
  <si>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SoI_supply_to_SoI_USD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</si>
  <si>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</si>
  <si>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</si>
  <si>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</si>
  <si>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</si>
  <si>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</si>
  <si>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</si>
  <si>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</si>
  <si>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</si>
  <si>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</si>
  <si>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</si>
  <si>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</si>
  <si>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</si>
  <si>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</si>
  <si>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</si>
  <si>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</si>
  <si>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</si>
  <si>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</si>
  <si>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</si>
  <si>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</si>
  <si>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</si>
  <si>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</si>
  <si>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</si>
  <si>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</si>
  <si>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</si>
  <si>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</si>
  <si>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</si>
  <si>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</si>
  <si>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</si>
  <si>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</si>
  <si>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</si>
  <si>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</si>
  <si>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</si>
  <si>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</si>
  <si>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</si>
  <si>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</si>
  <si>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</si>
  <si>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</si>
  <si>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</si>
  <si>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</si>
  <si>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</si>
  <si>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</si>
  <si>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</si>
  <si>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</si>
  <si>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</si>
  <si>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</si>
  <si>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</si>
  <si>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</si>
  <si>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</si>
  <si>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</si>
  <si>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</si>
  <si>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</si>
  <si>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</si>
  <si>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</si>
  <si>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</si>
  <si>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</si>
  <si>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</si>
  <si>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</si>
  <si>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</si>
  <si>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</si>
  <si>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</si>
  <si>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</si>
  <si>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</si>
  <si>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</si>
  <si>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</si>
  <si>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</si>
  <si>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</si>
  <si>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</si>
  <si>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</si>
  <si>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</si>
  <si>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</si>
  <si>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</si>
  <si>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</si>
  <si>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</si>
  <si>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total_supply_in_SoI_USD</t>
  </si>
  <si>
    <t xml:space="preserve">exports_to_RoUS_USD</t>
  </si>
  <si>
    <t xml:space="preserve">exports_intl_USD</t>
  </si>
  <si>
    <t xml:space="preserve">exports_total_USD (= RoUS + intl)</t>
  </si>
  <si>
    <t xml:space="preserve">State-of-Interest Domestic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</si>
  <si>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</si>
  <si>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</si>
  <si>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</si>
  <si>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</si>
  <si>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</si>
  <si>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</si>
  <si>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</si>
  <si>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</si>
  <si>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</si>
  <si>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</si>
  <si>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</si>
  <si>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</si>
  <si>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</si>
  <si>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</si>
  <si>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</si>
  <si>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</si>
  <si>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</si>
  <si>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</si>
  <si>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</si>
  <si>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</si>
  <si>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</si>
  <si>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</si>
  <si>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</si>
  <si>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</si>
  <si>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</si>
  <si>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</si>
  <si>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State-of-Interest Total Use matrix at BEA Summary resolution, from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</si>
  <si>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</si>
  <si>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</si>
  <si>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</si>
  <si>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AR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</si>
  <si>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</si>
  <si>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</si>
  <si>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</si>
  <si>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</si>
  <si>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</si>
  <si>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</si>
  <si>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</si>
  <si>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</si>
  <si>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</si>
  <si>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</si>
  <si>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</si>
  <si>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</si>
  <si>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</si>
  <si>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</si>
  <si>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</si>
  <si>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</si>
  <si>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</si>
  <si>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</si>
  <si>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</si>
  <si>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</si>
  <si>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</si>
  <si>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</si>
  <si>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</si>
  <si>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</si>
  <si>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</si>
  <si>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</si>
  <si>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</si>
  <si>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</si>
  <si>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</si>
  <si>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</si>
  <si>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</si>
  <si>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</si>
  <si>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</si>
  <si>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</si>
  <si>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</si>
  <si>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</si>
  <si>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</si>
  <si>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</si>
  <si>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</si>
  <si>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</si>
  <si>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</si>
  <si>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</si>
  <si>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</si>
  <si>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</si>
  <si>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</si>
  <si>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</si>
  <si>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</si>
  <si>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</si>
  <si>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</si>
  <si>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</si>
  <si>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</si>
  <si>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</si>
  <si>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</si>
  <si>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</si>
  <si>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</si>
  <si>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</si>
  <si>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</si>
  <si>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</si>
  <si>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</si>
  <si>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</si>
  <si>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</si>
  <si>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</si>
  <si>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</si>
  <si>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</si>
  <si>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</si>
  <si>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</si>
  <si>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</si>
  <si>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</si>
  <si>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</si>
  <si>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</si>
  <si>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</si>
  <si>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</si>
  <si>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</si>
  <si>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</si>
  <si>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</si>
  <si>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</si>
  <si>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</si>
  <si>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</si>
  <si>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</si>
  <si>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</si>
  <si>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</si>
  <si>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</si>
  <si>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</si>
  <si>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</si>
  <si>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</si>
  <si>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</si>
  <si>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</si>
  <si>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</si>
  <si>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</si>
  <si>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</si>
  <si>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</si>
  <si>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</si>
  <si>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</si>
  <si>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</si>
  <si>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</si>
  <si>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</si>
  <si>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</si>
  <si>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</si>
  <si>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AR.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</si>
  <si>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</si>
  <si>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</si>
  <si>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</si>
  <si>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</si>
  <si>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</si>
  <si>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</si>
  <si>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</si>
  <si>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</si>
  <si>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</si>
  <si>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</si>
  <si>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</si>
  <si>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</si>
  <si>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</si>
  <si>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</si>
  <si>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</si>
  <si>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</si>
  <si>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</si>
  <si>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</si>
  <si>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</si>
  <si>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</si>
  <si>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</si>
  <si>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</si>
  <si>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</si>
  <si>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</si>
  <si>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</si>
  <si>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</si>
  <si>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</si>
  <si>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</si>
  <si>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</si>
  <si>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</si>
  <si>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</si>
  <si>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</si>
  <si>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</si>
  <si>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</si>
  <si>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</si>
  <si>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</si>
  <si>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</si>
  <si>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</si>
  <si>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</si>
  <si>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</si>
  <si>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</si>
  <si>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</si>
  <si>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</si>
  <si>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</si>
  <si>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</si>
  <si>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</si>
  <si>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</si>
  <si>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</si>
  <si>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</si>
  <si>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</si>
  <si>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</si>
  <si>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</si>
  <si>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</si>
  <si>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</si>
  <si>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</si>
  <si>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</si>
  <si>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</si>
  <si>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</si>
  <si>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</si>
  <si>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</si>
  <si>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</si>
  <si>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</si>
  <si>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</si>
  <si>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</si>
  <si>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</si>
  <si>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</si>
  <si>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</si>
  <si>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</si>
  <si>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</si>
  <si>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</si>
  <si>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</si>
  <si>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</si>
  <si>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</si>
  <si>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</si>
  <si>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</si>
  <si>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</si>
  <si>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</si>
  <si>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</si>
  <si>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</si>
  <si>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</si>
  <si>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</si>
  <si>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</si>
  <si>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</si>
  <si>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</si>
  <si>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</si>
  <si>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</si>
  <si>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</si>
  <si>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</si>
  <si>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</si>
  <si>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</si>
  <si>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</si>
  <si>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</si>
  <si>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</si>
  <si>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</si>
  <si>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</si>
  <si>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</si>
  <si>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</si>
  <si>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</si>
  <si>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</si>
  <si>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</si>
  <si>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</si>
  <si>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</si>
  <si>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</si>
  <si>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</si>
  <si>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</si>
  <si>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</si>
  <si>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</si>
  <si>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</si>
  <si>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</si>
  <si>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</si>
  <si>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</si>
  <si>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</si>
  <si>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</si>
  <si>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</si>
  <si>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</si>
  <si>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</si>
  <si>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</si>
  <si>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</si>
  <si>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</si>
  <si>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</si>
  <si>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</si>
  <si>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</si>
  <si>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</si>
  <si>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</si>
  <si>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</si>
  <si>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</si>
  <si>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</si>
  <si>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</si>
  <si>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</si>
  <si>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</si>
  <si>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</si>
  <si>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</si>
  <si>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</si>
  <si>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</si>
  <si>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</si>
  <si>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</si>
  <si>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</si>
  <si>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</si>
  <si>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</si>
  <si>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</si>
  <si>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</si>
  <si>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</si>
  <si>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</si>
  <si>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</si>
  <si>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</si>
  <si>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</si>
  <si>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</si>
  <si>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</si>
  <si>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</si>
  <si>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</si>
  <si>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</si>
  <si>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</si>
  <si>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</si>
  <si>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</si>
  <si>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</si>
  <si>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2021 $861M -&gt; coal share 0.000 (applied to stateior 212 $579M)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</si>
  <si>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</si>
  <si>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</si>
  <si>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</si>
  <si>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</si>
  <si>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</si>
  <si>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</si>
  <si>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</si>
  <si>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</si>
  <si>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</si>
  <si>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</si>
  <si>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</si>
  <si>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</si>
  <si>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</si>
  <si>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</si>
  <si>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</si>
  <si>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</si>
  <si>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</si>
  <si>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</si>
  <si>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AR.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</si>
  <si>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</si>
  <si>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</si>
  <si>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</si>
  <si>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</si>
  <si>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</si>
  <si>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</si>
  <si>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</si>
  <si>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</si>
  <si>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</si>
  <si>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</si>
  <si>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</si>
  <si>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</si>
  <si>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</si>
  <si>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</si>
  <si>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</si>
  <si>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</si>
  <si>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</si>
  <si>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</si>
  <si>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</si>
  <si>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</si>
  <si>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</si>
  <si>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</si>
  <si>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</si>
  <si>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</si>
  <si>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</si>
  <si>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</si>
  <si>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</si>
  <si>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</si>
  <si>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</si>
  <si>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</si>
  <si>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</si>
  <si>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</si>
  <si>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</si>
  <si>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</si>
  <si>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</si>
  <si>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</si>
  <si>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</si>
  <si>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</si>
  <si>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</si>
  <si>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</si>
  <si>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</si>
  <si>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</si>
  <si>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</si>
  <si>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</si>
  <si>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</si>
  <si>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</si>
  <si>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</si>
  <si>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</si>
  <si>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</si>
  <si>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</si>
  <si>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</si>
  <si>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</si>
  <si>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</si>
  <si>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</si>
  <si>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</si>
  <si>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</si>
  <si>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</si>
  <si>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</si>
  <si>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</si>
  <si>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</si>
  <si>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</si>
  <si>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</si>
  <si>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</si>
  <si>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</si>
  <si>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</si>
  <si>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</si>
  <si>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</si>
  <si>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</si>
  <si>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</si>
  <si>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</si>
  <si>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</si>
  <si>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</si>
  <si>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</si>
  <si>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</si>
  <si>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</si>
  <si>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</si>
  <si>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</si>
  <si>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</si>
  <si>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</si>
  <si>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</si>
  <si>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</si>
  <si>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</si>
  <si>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</si>
  <si>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</si>
  <si>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</si>
  <si>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</si>
  <si>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</si>
  <si>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</si>
  <si>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STEP 2 - aggregate weighted values to 42 ISIC, then deflate to 2012 USD (Keys!$C$2)</t>
  </si>
  <si>
    <t xml:space="preserve">value_2012USD</t>
  </si>
  <si>
    <t xml:space="preserve">output_USD_2012 (pipeline value; matches BObIC.csv; ESoP denominator)</t>
  </si>
  <si>
    <t xml:space="preserve">dcs_override</t>
  </si>
  <si>
    <t xml:space="preserve">EIA own-use-first balance: min(prod 0.0Mt, cons 13.9Mt)/cons [eia7a_coal_production_2019.csv + seds_coal_consumption_2019.csv]</t>
  </si>
  <si>
    <t xml:space="preserve">EIA energy-weighted balance: crude min(prod 5, runs 31)MMbbl=0.16 (w 32%), gas min(prod 0.52, cons 0.36)Tcf=1.00 (w 68%) [eia_og_balance_2019.csv]</t>
  </si>
  <si>
    <t xml:space="preserve">EIA SEDS balance: 1 - max(net inflow -12278, 0)/consumption 48093 GWh (ELISP+ELNIP vs ESTCP) [seds_electricity_2019.csv]</t>
  </si>
  <si>
    <t xml:space="preserve">Physical-locality assumption (staff decision 2026-07-16): local-infrastructure service; no federal interstate service-trade data exists</t>
  </si>
  <si>
    <t xml:space="preserve">esop_override</t>
  </si>
  <si>
    <t xml:space="preserve">Physical-locality assumption (staff decision 2026-07-16): local-infrastructure service; no exports</t>
  </si>
  <si>
    <t xml:space="preserve">EIA SEDS balance: max(net outflow 12278, 0)/(consumption 48093 + net outflow) GWh (ELISP+ELNIP vs ESTCP) [seds_electricity_2019.csv]</t>
  </si>
  <si>
    <t xml:space="preserve">DCS per ISIC = SoI-supplied / total consumption, den floored by Keys epsilon, clamped to [0,1]; final column applies overrides where present</t>
  </si>
  <si>
    <t xml:space="preserve">numerator</t>
  </si>
  <si>
    <t xml:space="preserve">denominator</t>
  </si>
  <si>
    <t xml:space="preserve">ratio (den floored by Keys epsilon)</t>
  </si>
  <si>
    <t xml:space="preserve">clamped_0_to_1</t>
  </si>
  <si>
    <t xml:space="preserve">final (override where present, else computed)</t>
  </si>
  <si>
    <t xml:space="preserve">ESoP per ISIC = (RoUS + intl exports) / output, den floored by Keys epsilon, clamped to [0,1]; final column applies overrides where present</t>
  </si>
  <si>
    <t xml:space="preserve">Unit: dimensionless (%)</t>
  </si>
  <si>
    <t xml:space="preserve">Percent of Consumption that is Domestic Content</t>
  </si>
  <si>
    <t xml:space="preserve">Export Share of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</si>
</sst>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1</v>
      </c>
    </row>
    <row r="35">
      <c r="A35" t="s">
        <v>4</v>
      </c>
    </row>
    <row r="36">
      <c r="A36" t="s">
        <v>27</v>
      </c>
    </row>
    <row r="37">
      <c r="A37" t="s">
        <v>4</v>
      </c>
    </row>
    <row r="38">
      <c r="A38" t="s">
        <v>28</v>
      </c>
    </row>
    <row r="39">
      <c r="A39" t="s">
        <v>29</v>
      </c>
    </row>
    <row r="40">
      <c r="A40" t="s">
        <v>1</v>
      </c>
    </row>
    <row r="41">
      <c r="A41" t="s">
        <v>30</v>
      </c>
    </row>
    <row r="42">
      <c r="A42" t="s">
        <v>31</v>
      </c>
    </row>
    <row r="43">
      <c r="A43" t="s">
        <v>32</v>
      </c>
    </row>
    <row r="44">
      <c r="A44" t="s">
        <v>33</v>
      </c>
    </row>
    <row r="45">
      <c r="A45" t="s">
        <v>34</v>
      </c>
    </row>
    <row r="46">
      <c r="A46" t="s">
        <v>35</v>
      </c>
    </row>
    <row r="47">
      <c r="A47" t="s">
        <v>36</v>
      </c>
    </row>
    <row r="48">
      <c r="A48" t="s">
        <v>37</v>
      </c>
    </row>
    <row r="49">
      <c r="A49" t="s">
        <v>38</v>
      </c>
    </row>
    <row r="50">
      <c r="A50" t="s">
        <v>39</v>
      </c>
    </row>
    <row r="51">
      <c r="A51" t="s">
        <v>40</v>
      </c>
    </row>
    <row r="52">
      <c r="A52" t="s">
        <v>1</v>
      </c>
    </row>
    <row r="53">
      <c r="A53" t="s">
        <v>41</v>
      </c>
    </row>
    <row r="54">
      <c r="A54" t="s">
        <v>42</v>
      </c>
    </row>
    <row r="55">
      <c r="A55" t="s">
        <v>1</v>
      </c>
    </row>
    <row r="56">
      <c r="A56" t="s">
        <v>4</v>
      </c>
    </row>
    <row r="57">
      <c r="A57" t="s">
        <v>43</v>
      </c>
    </row>
    <row r="58">
      <c r="A58" t="s">
        <v>4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71</v>
      </c>
    </row>
    <row r="96">
      <c r="A96" t="s">
        <v>72</v>
      </c>
    </row>
    <row r="97">
      <c r="A97" t="s">
        <v>73</v>
      </c>
    </row>
    <row r="98">
      <c r="A98" t="s">
        <v>1</v>
      </c>
    </row>
    <row r="99">
      <c r="A99" t="s">
        <v>74</v>
      </c>
    </row>
    <row r="100">
      <c r="A100" t="s">
        <v>75</v>
      </c>
    </row>
    <row r="101">
      <c r="A101" t="s">
        <v>76</v>
      </c>
    </row>
    <row r="102">
      <c r="A102" t="s">
        <v>1</v>
      </c>
    </row>
    <row r="103">
      <c r="A103" t="s">
        <v>4</v>
      </c>
    </row>
    <row r="104">
      <c r="A104" t="s">
        <v>77</v>
      </c>
    </row>
    <row r="105">
      <c r="A105" t="s">
        <v>4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1</v>
      </c>
    </row>
    <row r="110">
      <c r="A110" t="s">
        <v>81</v>
      </c>
    </row>
    <row r="111">
      <c r="A111" t="s">
        <v>82</v>
      </c>
    </row>
    <row r="112">
      <c r="A112" t="s">
        <v>83</v>
      </c>
    </row>
    <row r="113">
      <c r="A113" t="s">
        <v>84</v>
      </c>
    </row>
    <row r="114">
      <c r="A114" t="s">
        <v>85</v>
      </c>
    </row>
    <row r="115">
      <c r="A115" t="s">
        <v>86</v>
      </c>
    </row>
    <row r="116">
      <c r="A116" t="s">
        <v>1</v>
      </c>
    </row>
    <row r="117">
      <c r="A117" t="s">
        <v>87</v>
      </c>
    </row>
    <row r="118">
      <c r="A118" t="s">
        <v>88</v>
      </c>
    </row>
    <row r="119">
      <c r="A119" t="s">
        <v>89</v>
      </c>
    </row>
    <row r="120">
      <c r="A120" t="s">
        <v>90</v>
      </c>
    </row>
    <row r="121">
      <c r="A121" t="s">
        <v>91</v>
      </c>
    </row>
    <row r="122">
      <c r="A122" t="s">
        <v>92</v>
      </c>
    </row>
    <row r="123">
      <c r="A123" t="s">
        <v>93</v>
      </c>
    </row>
    <row r="124">
      <c r="A124" t="s">
        <v>94</v>
      </c>
    </row>
    <row r="125">
      <c r="A125" t="s">
        <v>95</v>
      </c>
    </row>
    <row r="126">
      <c r="A126" t="s">
        <v>96</v>
      </c>
    </row>
    <row r="127">
      <c r="A127" t="s">
        <v>97</v>
      </c>
    </row>
    <row r="128">
      <c r="A128" t="s">
        <v>98</v>
      </c>
    </row>
    <row r="129">
      <c r="A129" t="s">
        <v>99</v>
      </c>
    </row>
    <row r="130">
      <c r="A130" t="s">
        <v>100</v>
      </c>
    </row>
    <row r="131">
      <c r="A131" t="s">
        <v>101</v>
      </c>
    </row>
    <row r="132">
      <c r="A132" t="s">
        <v>102</v>
      </c>
    </row>
    <row r="133">
      <c r="A133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104</v>
      </c>
      <c r="B1" t="s">
        <v>105</v>
      </c>
      <c r="C1" t="s">
        <v>106</v>
      </c>
      <c r="D1" t="s">
        <v>107</v>
      </c>
    </row>
    <row r="2">
      <c r="A2" t="s">
        <v>108</v>
      </c>
      <c r="B2" t="s">
        <v>109</v>
      </c>
      <c r="C2" t="n">
        <v>1.12266</v>
      </c>
      <c r="D2" t="s">
        <v>110</v>
      </c>
    </row>
    <row r="3">
      <c r="A3" t="s">
        <v>111</v>
      </c>
      <c r="B3" t="s">
        <v>112</v>
      </c>
      <c r="C3" t="n">
        <v>2019</v>
      </c>
      <c r="D3" t="s">
        <v>113</v>
      </c>
    </row>
    <row r="4">
      <c r="A4" t="s">
        <v>114</v>
      </c>
      <c r="B4" t="s">
        <v>115</v>
      </c>
      <c r="C4" t="n">
        <v>0.000000001</v>
      </c>
      <c r="D4" t="s">
        <v>116</v>
      </c>
    </row>
    <row r="5">
      <c r="A5" t="s">
        <v>114</v>
      </c>
      <c r="B5" t="s">
        <v>117</v>
      </c>
      <c r="C5" t="n">
        <v>1</v>
      </c>
      <c r="D5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120</v>
      </c>
    </row>
    <row r="2">
      <c r="A2" t="s">
        <v>121</v>
      </c>
      <c r="B2" t="n">
        <v>2654665833.34208</v>
      </c>
    </row>
    <row r="3">
      <c r="A3" t="s">
        <v>122</v>
      </c>
      <c r="B3" t="n">
        <v>590326956.460961</v>
      </c>
    </row>
    <row r="4">
      <c r="A4" t="s">
        <v>123</v>
      </c>
      <c r="B4" t="n">
        <v>16543578.9788823</v>
      </c>
    </row>
    <row r="5">
      <c r="A5" t="s">
        <v>124</v>
      </c>
      <c r="B5" t="n">
        <v>254051354.853544</v>
      </c>
    </row>
    <row r="6">
      <c r="A6" t="s">
        <v>125</v>
      </c>
      <c r="B6" t="n">
        <v>36579440.8472148</v>
      </c>
    </row>
    <row r="7">
      <c r="A7" t="s">
        <v>126</v>
      </c>
      <c r="B7" t="n">
        <v>688135670.860609</v>
      </c>
    </row>
    <row r="8">
      <c r="A8" t="s">
        <v>127</v>
      </c>
      <c r="B8" t="n">
        <v>1821243036.6948</v>
      </c>
    </row>
    <row r="9">
      <c r="A9" t="s">
        <v>128</v>
      </c>
      <c r="B9" t="n">
        <v>684642382.156009</v>
      </c>
    </row>
    <row r="10">
      <c r="A10" t="s">
        <v>129</v>
      </c>
      <c r="B10" t="n">
        <v>431206514.71884</v>
      </c>
    </row>
    <row r="11">
      <c r="A11" t="s">
        <v>130</v>
      </c>
      <c r="B11" t="n">
        <v>1003285685.61276</v>
      </c>
    </row>
    <row r="12">
      <c r="A12" t="s">
        <v>131</v>
      </c>
      <c r="B12" t="n">
        <v>784589565.293319</v>
      </c>
    </row>
    <row r="13">
      <c r="A13" t="s">
        <v>132</v>
      </c>
      <c r="B13" t="n">
        <v>263355526.192736</v>
      </c>
    </row>
    <row r="14">
      <c r="A14" t="s">
        <v>133</v>
      </c>
      <c r="B14" t="n">
        <v>174969663.51611</v>
      </c>
    </row>
    <row r="15">
      <c r="A15" t="s">
        <v>134</v>
      </c>
      <c r="B15" t="n">
        <v>136545624.285874</v>
      </c>
    </row>
    <row r="16">
      <c r="A16" t="s">
        <v>135</v>
      </c>
      <c r="B16" t="n">
        <v>296614278.713308</v>
      </c>
    </row>
    <row r="17">
      <c r="A17" t="s">
        <v>136</v>
      </c>
      <c r="B17" t="n">
        <v>98561801.6134703</v>
      </c>
    </row>
    <row r="18">
      <c r="A18" t="s">
        <v>137</v>
      </c>
      <c r="B18" t="n">
        <v>85058024.9603636</v>
      </c>
    </row>
    <row r="19">
      <c r="A19" t="s">
        <v>138</v>
      </c>
      <c r="B19" t="n">
        <v>113996456.547767</v>
      </c>
    </row>
    <row r="20">
      <c r="A20" t="s">
        <v>139</v>
      </c>
      <c r="B20" t="n">
        <v>2046378198.25396</v>
      </c>
    </row>
    <row r="21">
      <c r="A21" t="s">
        <v>140</v>
      </c>
      <c r="B21" t="n">
        <v>33622443.6963133</v>
      </c>
    </row>
    <row r="22">
      <c r="A22" t="s">
        <v>141</v>
      </c>
      <c r="B22" t="n">
        <v>4378845.67291481</v>
      </c>
    </row>
    <row r="23">
      <c r="A23" t="s">
        <v>142</v>
      </c>
      <c r="B23" t="n">
        <v>1294041949.56287</v>
      </c>
    </row>
    <row r="24">
      <c r="A24" t="s">
        <v>143</v>
      </c>
      <c r="B24" t="n">
        <v>285415778.918941</v>
      </c>
    </row>
    <row r="25">
      <c r="A25" t="s">
        <v>144</v>
      </c>
      <c r="B25" t="n">
        <v>872603227.528167</v>
      </c>
    </row>
    <row r="26">
      <c r="A26" t="s">
        <v>145</v>
      </c>
      <c r="B26" t="n">
        <v>813835413.425193</v>
      </c>
    </row>
    <row r="27">
      <c r="A27" t="s">
        <v>146</v>
      </c>
      <c r="B27" t="n">
        <v>674723303.927425</v>
      </c>
    </row>
    <row r="28">
      <c r="A28" t="s">
        <v>147</v>
      </c>
      <c r="B28" t="n">
        <v>2065092129.85391</v>
      </c>
    </row>
    <row r="29">
      <c r="A29" t="s">
        <v>148</v>
      </c>
      <c r="B29" t="n">
        <v>181531823.658806</v>
      </c>
    </row>
    <row r="30">
      <c r="A30" t="s">
        <v>149</v>
      </c>
      <c r="B30" t="n">
        <v>18541651.0456858</v>
      </c>
    </row>
    <row r="31">
      <c r="A31" t="s">
        <v>150</v>
      </c>
      <c r="B31" t="n">
        <v>583056.485616878</v>
      </c>
    </row>
    <row r="32">
      <c r="A32" t="s">
        <v>151</v>
      </c>
      <c r="B32" t="n">
        <v>794002972.071229</v>
      </c>
    </row>
    <row r="33">
      <c r="A33" t="s">
        <v>152</v>
      </c>
      <c r="B33" t="n">
        <v>94374474.8528449</v>
      </c>
    </row>
    <row r="34">
      <c r="A34" t="s">
        <v>153</v>
      </c>
      <c r="B34" t="n">
        <v>475966859.870068</v>
      </c>
    </row>
    <row r="35">
      <c r="A35" t="s">
        <v>154</v>
      </c>
      <c r="B35" t="n">
        <v>7443397.44755778</v>
      </c>
    </row>
    <row r="36">
      <c r="A36" t="s">
        <v>155</v>
      </c>
      <c r="B36" t="n">
        <v>1043768885.47932</v>
      </c>
    </row>
    <row r="37">
      <c r="A37" t="s">
        <v>156</v>
      </c>
      <c r="B37" t="n">
        <v>389146704.366012</v>
      </c>
    </row>
    <row r="38">
      <c r="A38" t="s">
        <v>157</v>
      </c>
      <c r="B38" t="n">
        <v>57471760.7469058</v>
      </c>
    </row>
    <row r="39">
      <c r="A39" t="s">
        <v>158</v>
      </c>
      <c r="B39" t="n">
        <v>2127667602.677</v>
      </c>
    </row>
    <row r="40">
      <c r="A40" t="s">
        <v>159</v>
      </c>
      <c r="B40" t="n">
        <v>495099709.441635</v>
      </c>
    </row>
    <row r="41">
      <c r="A41" t="s">
        <v>160</v>
      </c>
      <c r="B41" t="n">
        <v>88438173.2726951</v>
      </c>
    </row>
    <row r="42">
      <c r="A42" t="s">
        <v>161</v>
      </c>
      <c r="B42" t="n">
        <v>31551620.2662138</v>
      </c>
    </row>
    <row r="43">
      <c r="A43" t="s">
        <v>162</v>
      </c>
      <c r="B43" t="n">
        <v>899177463.951875</v>
      </c>
    </row>
    <row r="44">
      <c r="A44" t="s">
        <v>163</v>
      </c>
      <c r="B44" t="n">
        <v>353883270.272449</v>
      </c>
    </row>
    <row r="45">
      <c r="A45" t="s">
        <v>164</v>
      </c>
      <c r="B45" t="n">
        <v>753021444.926461</v>
      </c>
    </row>
    <row r="46">
      <c r="A46" t="s">
        <v>165</v>
      </c>
      <c r="B46" t="n">
        <v>400053374.414058</v>
      </c>
    </row>
    <row r="47">
      <c r="A47" t="s">
        <v>166</v>
      </c>
      <c r="B47" t="n">
        <v>606689283.959273</v>
      </c>
    </row>
    <row r="48">
      <c r="A48" t="s">
        <v>167</v>
      </c>
      <c r="B48" t="n">
        <v>23494705.8119413</v>
      </c>
    </row>
    <row r="49">
      <c r="A49" t="s">
        <v>168</v>
      </c>
      <c r="B49" t="n">
        <v>0</v>
      </c>
    </row>
    <row r="50">
      <c r="A50" t="s">
        <v>169</v>
      </c>
      <c r="B50" t="n">
        <v>7540729807.63772</v>
      </c>
    </row>
    <row r="51">
      <c r="A51" t="s">
        <v>170</v>
      </c>
      <c r="B51" t="n">
        <v>675570714.030949</v>
      </c>
    </row>
    <row r="52">
      <c r="A52" t="s">
        <v>171</v>
      </c>
      <c r="B52" t="n">
        <v>625698585.175243</v>
      </c>
    </row>
    <row r="53">
      <c r="A53" t="s">
        <v>172</v>
      </c>
      <c r="B53" t="n">
        <v>1000082264.11889</v>
      </c>
    </row>
    <row r="54">
      <c r="A54" t="s">
        <v>173</v>
      </c>
      <c r="B54" t="n">
        <v>1398212670.30407</v>
      </c>
    </row>
    <row r="55">
      <c r="A55" t="s">
        <v>174</v>
      </c>
      <c r="B55" t="n">
        <v>3132380875.45137</v>
      </c>
    </row>
    <row r="56">
      <c r="A56" t="s">
        <v>175</v>
      </c>
      <c r="B56" t="n">
        <v>2910258221.5426</v>
      </c>
    </row>
    <row r="57">
      <c r="A57" t="s">
        <v>176</v>
      </c>
      <c r="B57" t="n">
        <v>127036549.77104</v>
      </c>
    </row>
    <row r="58">
      <c r="A58" t="s">
        <v>177</v>
      </c>
      <c r="B58" t="n">
        <v>36404422.8876855</v>
      </c>
    </row>
    <row r="59">
      <c r="A59" t="s">
        <v>178</v>
      </c>
      <c r="B59" t="n">
        <v>290591152.298334</v>
      </c>
    </row>
    <row r="60">
      <c r="A60" t="s">
        <v>179</v>
      </c>
      <c r="B60" t="n">
        <v>6300129.72120418</v>
      </c>
    </row>
    <row r="61">
      <c r="A61" t="s">
        <v>180</v>
      </c>
      <c r="B61" t="n">
        <v>20426486.8768975</v>
      </c>
    </row>
    <row r="62">
      <c r="A62" t="s">
        <v>181</v>
      </c>
      <c r="B62" t="n">
        <v>0</v>
      </c>
    </row>
    <row r="63">
      <c r="A63" t="s">
        <v>182</v>
      </c>
      <c r="B63" t="n">
        <v>219578068.162838</v>
      </c>
    </row>
    <row r="64">
      <c r="A64" t="s">
        <v>183</v>
      </c>
      <c r="B64" t="n">
        <v>15959502.9490035</v>
      </c>
    </row>
    <row r="65">
      <c r="A65" t="s">
        <v>184</v>
      </c>
      <c r="B65" t="n">
        <v>273825119.622774</v>
      </c>
    </row>
    <row r="66">
      <c r="A66" t="s">
        <v>185</v>
      </c>
      <c r="B66" t="n">
        <v>1283948739.37503</v>
      </c>
    </row>
    <row r="67">
      <c r="A67" t="s">
        <v>186</v>
      </c>
      <c r="B67" t="n">
        <v>1746002372.4186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24040218.6867419</v>
      </c>
    </row>
    <row r="71">
      <c r="A71" t="s">
        <v>190</v>
      </c>
      <c r="B71" t="n">
        <v>0</v>
      </c>
    </row>
    <row r="72">
      <c r="A72" t="s">
        <v>191</v>
      </c>
      <c r="B72" t="n">
        <v>251560934.514269</v>
      </c>
    </row>
    <row r="73">
      <c r="A73" t="s">
        <v>192</v>
      </c>
      <c r="B73" t="n">
        <v>903250638.998882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194</v>
      </c>
    </row>
    <row r="2">
      <c r="A2" t="s">
        <v>121</v>
      </c>
      <c r="B2" t="n">
        <v>4414218541.67986</v>
      </c>
    </row>
    <row r="3">
      <c r="A3" t="s">
        <v>122</v>
      </c>
      <c r="B3" t="n">
        <v>888648882.844118</v>
      </c>
    </row>
    <row r="4">
      <c r="A4" t="s">
        <v>123</v>
      </c>
      <c r="B4" t="n">
        <v>1096064241.71668</v>
      </c>
    </row>
    <row r="5">
      <c r="A5" t="s">
        <v>124</v>
      </c>
      <c r="B5" t="n">
        <v>632706919.060835</v>
      </c>
    </row>
    <row r="6">
      <c r="A6" t="s">
        <v>125</v>
      </c>
      <c r="B6" t="n">
        <v>45918006.622768</v>
      </c>
    </row>
    <row r="7">
      <c r="A7" t="s">
        <v>126</v>
      </c>
      <c r="B7" t="n">
        <v>2865446090.7462</v>
      </c>
    </row>
    <row r="8">
      <c r="A8" t="s">
        <v>127</v>
      </c>
      <c r="B8" t="n">
        <v>1821243036.6948</v>
      </c>
    </row>
    <row r="9">
      <c r="A9" t="s">
        <v>128</v>
      </c>
      <c r="B9" t="n">
        <v>1232068605.15639</v>
      </c>
    </row>
    <row r="10">
      <c r="A10" t="s">
        <v>129</v>
      </c>
      <c r="B10" t="n">
        <v>896894091.372266</v>
      </c>
    </row>
    <row r="11">
      <c r="A11" t="s">
        <v>130</v>
      </c>
      <c r="B11" t="n">
        <v>3643889356.48284</v>
      </c>
    </row>
    <row r="12">
      <c r="A12" t="s">
        <v>131</v>
      </c>
      <c r="B12" t="n">
        <v>2760202812.13087</v>
      </c>
    </row>
    <row r="13">
      <c r="A13" t="s">
        <v>132</v>
      </c>
      <c r="B13" t="n">
        <v>1228665714.43774</v>
      </c>
    </row>
    <row r="14">
      <c r="A14" t="s">
        <v>133</v>
      </c>
      <c r="B14" t="n">
        <v>1179655201.29072</v>
      </c>
    </row>
    <row r="15">
      <c r="A15" t="s">
        <v>134</v>
      </c>
      <c r="B15" t="n">
        <v>798601502.488815</v>
      </c>
    </row>
    <row r="16">
      <c r="A16" t="s">
        <v>135</v>
      </c>
      <c r="B16" t="n">
        <v>1586526640.49284</v>
      </c>
    </row>
    <row r="17">
      <c r="A17" t="s">
        <v>136</v>
      </c>
      <c r="B17" t="n">
        <v>659963276.537264</v>
      </c>
    </row>
    <row r="18">
      <c r="A18" t="s">
        <v>137</v>
      </c>
      <c r="B18" t="n">
        <v>185908596.84797</v>
      </c>
    </row>
    <row r="19">
      <c r="A19" t="s">
        <v>138</v>
      </c>
      <c r="B19" t="n">
        <v>483970346.089926</v>
      </c>
    </row>
    <row r="20">
      <c r="A20" t="s">
        <v>139</v>
      </c>
      <c r="B20" t="n">
        <v>4421247657.39821</v>
      </c>
    </row>
    <row r="21">
      <c r="A21" t="s">
        <v>140</v>
      </c>
      <c r="B21" t="n">
        <v>389667744.015857</v>
      </c>
    </row>
    <row r="22">
      <c r="A22" t="s">
        <v>141</v>
      </c>
      <c r="B22" t="n">
        <v>97677440.9959672</v>
      </c>
    </row>
    <row r="23">
      <c r="A23" t="s">
        <v>142</v>
      </c>
      <c r="B23" t="n">
        <v>2209224267.16085</v>
      </c>
    </row>
    <row r="24">
      <c r="A24" t="s">
        <v>143</v>
      </c>
      <c r="B24" t="n">
        <v>368899011.987487</v>
      </c>
    </row>
    <row r="25">
      <c r="A25" t="s">
        <v>144</v>
      </c>
      <c r="B25" t="n">
        <v>2458867548.21414</v>
      </c>
    </row>
    <row r="26">
      <c r="A26" t="s">
        <v>145</v>
      </c>
      <c r="B26" t="n">
        <v>3724502385.99786</v>
      </c>
    </row>
    <row r="27">
      <c r="A27" t="s">
        <v>146</v>
      </c>
      <c r="B27" t="n">
        <v>1878303904.52272</v>
      </c>
    </row>
    <row r="28">
      <c r="A28" t="s">
        <v>147</v>
      </c>
      <c r="B28" t="n">
        <v>8046783387.59083</v>
      </c>
    </row>
    <row r="29">
      <c r="A29" t="s">
        <v>148</v>
      </c>
      <c r="B29" t="n">
        <v>181531823.658806</v>
      </c>
    </row>
    <row r="30">
      <c r="A30" t="s">
        <v>149</v>
      </c>
      <c r="B30" t="n">
        <v>18541651.0456858</v>
      </c>
    </row>
    <row r="31">
      <c r="A31" t="s">
        <v>150</v>
      </c>
      <c r="B31" t="n">
        <v>41573139.1158906</v>
      </c>
    </row>
    <row r="32">
      <c r="A32" t="s">
        <v>151</v>
      </c>
      <c r="B32" t="n">
        <v>835794199.680284</v>
      </c>
    </row>
    <row r="33">
      <c r="A33" t="s">
        <v>152</v>
      </c>
      <c r="B33" t="n">
        <v>612474077.593165</v>
      </c>
    </row>
    <row r="34">
      <c r="A34" t="s">
        <v>153</v>
      </c>
      <c r="B34" t="n">
        <v>606530788.957094</v>
      </c>
    </row>
    <row r="35">
      <c r="A35" t="s">
        <v>154</v>
      </c>
      <c r="B35" t="n">
        <v>86991262.641218</v>
      </c>
    </row>
    <row r="36">
      <c r="A36" t="s">
        <v>155</v>
      </c>
      <c r="B36" t="n">
        <v>2049653127.72063</v>
      </c>
    </row>
    <row r="37">
      <c r="A37" t="s">
        <v>156</v>
      </c>
      <c r="B37" t="n">
        <v>389146704.366012</v>
      </c>
    </row>
    <row r="38">
      <c r="A38" t="s">
        <v>157</v>
      </c>
      <c r="B38" t="n">
        <v>226478977.323898</v>
      </c>
    </row>
    <row r="39">
      <c r="A39" t="s">
        <v>158</v>
      </c>
      <c r="B39" t="n">
        <v>2127976738.97331</v>
      </c>
    </row>
    <row r="40">
      <c r="A40" t="s">
        <v>159</v>
      </c>
      <c r="B40" t="n">
        <v>1139150032.18541</v>
      </c>
    </row>
    <row r="41">
      <c r="A41" t="s">
        <v>160</v>
      </c>
      <c r="B41" t="n">
        <v>293045495.856783</v>
      </c>
    </row>
    <row r="42">
      <c r="A42" t="s">
        <v>161</v>
      </c>
      <c r="B42" t="n">
        <v>229962378.610878</v>
      </c>
    </row>
    <row r="43">
      <c r="A43" t="s">
        <v>162</v>
      </c>
      <c r="B43" t="n">
        <v>1818954672.25832</v>
      </c>
    </row>
    <row r="44">
      <c r="A44" t="s">
        <v>163</v>
      </c>
      <c r="B44" t="n">
        <v>1443125858.39132</v>
      </c>
    </row>
    <row r="45">
      <c r="A45" t="s">
        <v>164</v>
      </c>
      <c r="B45" t="n">
        <v>3948957374.00361</v>
      </c>
    </row>
    <row r="46">
      <c r="A46" t="s">
        <v>165</v>
      </c>
      <c r="B46" t="n">
        <v>1343669317.27757</v>
      </c>
    </row>
    <row r="47">
      <c r="A47" t="s">
        <v>166</v>
      </c>
      <c r="B47" t="n">
        <v>3892646086.6051</v>
      </c>
    </row>
    <row r="48">
      <c r="A48" t="s">
        <v>167</v>
      </c>
      <c r="B48" t="n">
        <v>51825170.8663316</v>
      </c>
    </row>
    <row r="49">
      <c r="A49" t="s">
        <v>168</v>
      </c>
      <c r="B49" t="n">
        <v>0</v>
      </c>
    </row>
    <row r="50">
      <c r="A50" t="s">
        <v>169</v>
      </c>
      <c r="B50" t="n">
        <v>7540729807.63772</v>
      </c>
    </row>
    <row r="51">
      <c r="A51" t="s">
        <v>170</v>
      </c>
      <c r="B51" t="n">
        <v>2133302745.04768</v>
      </c>
    </row>
    <row r="52">
      <c r="A52" t="s">
        <v>171</v>
      </c>
      <c r="B52" t="n">
        <v>1347222866.1391</v>
      </c>
    </row>
    <row r="53">
      <c r="A53" t="s">
        <v>172</v>
      </c>
      <c r="B53" t="n">
        <v>1377011973.19938</v>
      </c>
    </row>
    <row r="54">
      <c r="A54" t="s">
        <v>173</v>
      </c>
      <c r="B54" t="n">
        <v>7733716222.99315</v>
      </c>
    </row>
    <row r="55">
      <c r="A55" t="s">
        <v>174</v>
      </c>
      <c r="B55" t="n">
        <v>3888781047.9908</v>
      </c>
    </row>
    <row r="56">
      <c r="A56" t="s">
        <v>175</v>
      </c>
      <c r="B56" t="n">
        <v>5266021318.92058</v>
      </c>
    </row>
    <row r="57">
      <c r="A57" t="s">
        <v>176</v>
      </c>
      <c r="B57" t="n">
        <v>645628514.823586</v>
      </c>
    </row>
    <row r="58">
      <c r="A58" t="s">
        <v>177</v>
      </c>
      <c r="B58" t="n">
        <v>136658343.450513</v>
      </c>
    </row>
    <row r="59">
      <c r="A59" t="s">
        <v>178</v>
      </c>
      <c r="B59" t="n">
        <v>290629405.054735</v>
      </c>
    </row>
    <row r="60">
      <c r="A60" t="s">
        <v>179</v>
      </c>
      <c r="B60" t="n">
        <v>6300129.72120418</v>
      </c>
    </row>
    <row r="61">
      <c r="A61" t="s">
        <v>180</v>
      </c>
      <c r="B61" t="n">
        <v>20431999.690128</v>
      </c>
    </row>
    <row r="62">
      <c r="A62" t="s">
        <v>181</v>
      </c>
      <c r="B62" t="n">
        <v>0</v>
      </c>
    </row>
    <row r="63">
      <c r="A63" t="s">
        <v>182</v>
      </c>
      <c r="B63" t="n">
        <v>406851844.195089</v>
      </c>
    </row>
    <row r="64">
      <c r="A64" t="s">
        <v>183</v>
      </c>
      <c r="B64" t="n">
        <v>47977202.1774798</v>
      </c>
    </row>
    <row r="65">
      <c r="A65" t="s">
        <v>184</v>
      </c>
      <c r="B65" t="n">
        <v>393117412.952066</v>
      </c>
    </row>
    <row r="66">
      <c r="A66" t="s">
        <v>185</v>
      </c>
      <c r="B66" t="n">
        <v>1283948739.37503</v>
      </c>
    </row>
    <row r="67">
      <c r="A67" t="s">
        <v>186</v>
      </c>
      <c r="B67" t="n">
        <v>1817238664.64892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430151779.245172</v>
      </c>
    </row>
    <row r="71">
      <c r="A71" t="s">
        <v>190</v>
      </c>
      <c r="B71" t="n">
        <v>0</v>
      </c>
    </row>
    <row r="72">
      <c r="A72" t="s">
        <v>191</v>
      </c>
      <c r="B72" t="n">
        <v>251560934.514269</v>
      </c>
    </row>
    <row r="73">
      <c r="A73" t="s">
        <v>192</v>
      </c>
      <c r="B73" t="n">
        <v>1091744234.44182</v>
      </c>
    </row>
    <row r="74">
      <c r="A74" t="s">
        <v>193</v>
      </c>
      <c r="B74" t="n">
        <v>584310402.592494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195</v>
      </c>
    </row>
    <row r="2">
      <c r="A2" t="s">
        <v>121</v>
      </c>
      <c r="B2" t="n">
        <v>765038121.915556</v>
      </c>
    </row>
    <row r="3">
      <c r="A3" t="s">
        <v>122</v>
      </c>
      <c r="B3" t="n">
        <v>189966336.838737</v>
      </c>
    </row>
    <row r="4">
      <c r="A4" t="s">
        <v>123</v>
      </c>
      <c r="B4" t="n">
        <v>197386646.398274</v>
      </c>
    </row>
    <row r="5">
      <c r="A5" t="s">
        <v>124</v>
      </c>
      <c r="B5" t="n">
        <v>247862935.515978</v>
      </c>
    </row>
    <row r="6">
      <c r="A6" t="s">
        <v>125</v>
      </c>
      <c r="B6" t="n">
        <v>75100945.101132</v>
      </c>
    </row>
    <row r="7">
      <c r="A7" t="s">
        <v>126</v>
      </c>
      <c r="B7" t="n">
        <v>4992570613.23543</v>
      </c>
    </row>
    <row r="8">
      <c r="A8" t="s">
        <v>127</v>
      </c>
      <c r="B8" t="n">
        <v>0</v>
      </c>
    </row>
    <row r="9">
      <c r="A9" t="s">
        <v>128</v>
      </c>
      <c r="B9" t="n">
        <v>1929177129.74999</v>
      </c>
    </row>
    <row r="10">
      <c r="A10" t="s">
        <v>129</v>
      </c>
      <c r="B10" t="n">
        <v>364921590.331236</v>
      </c>
    </row>
    <row r="11">
      <c r="A11" t="s">
        <v>130</v>
      </c>
      <c r="B11" t="n">
        <v>5675376882.43683</v>
      </c>
    </row>
    <row r="12">
      <c r="A12" t="s">
        <v>131</v>
      </c>
      <c r="B12" t="n">
        <v>2971329359.74917</v>
      </c>
    </row>
    <row r="13">
      <c r="A13" t="s">
        <v>132</v>
      </c>
      <c r="B13" t="n">
        <v>2220557553.2501</v>
      </c>
    </row>
    <row r="14">
      <c r="A14" t="s">
        <v>133</v>
      </c>
      <c r="B14" t="n">
        <v>79323644.7743311</v>
      </c>
    </row>
    <row r="15">
      <c r="A15" t="s">
        <v>134</v>
      </c>
      <c r="B15" t="n">
        <v>750108988.872947</v>
      </c>
    </row>
    <row r="16">
      <c r="A16" t="s">
        <v>135</v>
      </c>
      <c r="B16" t="n">
        <v>1040147301.52956</v>
      </c>
    </row>
    <row r="17">
      <c r="A17" t="s">
        <v>136</v>
      </c>
      <c r="B17" t="n">
        <v>28439317.7175344</v>
      </c>
    </row>
    <row r="18">
      <c r="A18" t="s">
        <v>137</v>
      </c>
      <c r="B18" t="n">
        <v>255519293.443591</v>
      </c>
    </row>
    <row r="19">
      <c r="A19" t="s">
        <v>138</v>
      </c>
      <c r="B19" t="n">
        <v>195112457.634523</v>
      </c>
    </row>
    <row r="20">
      <c r="A20" t="s">
        <v>139</v>
      </c>
      <c r="B20" t="n">
        <v>10890475028.1408</v>
      </c>
    </row>
    <row r="21">
      <c r="A21" t="s">
        <v>140</v>
      </c>
      <c r="B21" t="n">
        <v>118593845.222421</v>
      </c>
    </row>
    <row r="22">
      <c r="A22" t="s">
        <v>141</v>
      </c>
      <c r="B22" t="n">
        <v>72235894.0103991</v>
      </c>
    </row>
    <row r="23">
      <c r="A23" t="s">
        <v>142</v>
      </c>
      <c r="B23" t="n">
        <v>2786621366.98242</v>
      </c>
    </row>
    <row r="24">
      <c r="A24" t="s">
        <v>143</v>
      </c>
      <c r="B24" t="n">
        <v>254468736.924064</v>
      </c>
    </row>
    <row r="25">
      <c r="A25" t="s">
        <v>144</v>
      </c>
      <c r="B25" t="n">
        <v>5640988.92185665</v>
      </c>
    </row>
    <row r="26">
      <c r="A26" t="s">
        <v>145</v>
      </c>
      <c r="B26" t="n">
        <v>767743594.790823</v>
      </c>
    </row>
    <row r="27">
      <c r="A27" t="s">
        <v>146</v>
      </c>
      <c r="B27" t="n">
        <v>2653667861.67408</v>
      </c>
    </row>
    <row r="28">
      <c r="A28" t="s">
        <v>147</v>
      </c>
      <c r="B28" t="n">
        <v>11329331542.8548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3312174339.07338</v>
      </c>
    </row>
    <row r="32">
      <c r="A32" t="s">
        <v>151</v>
      </c>
      <c r="B32" t="n">
        <v>18479187.4491683</v>
      </c>
    </row>
    <row r="33">
      <c r="A33" t="s">
        <v>152</v>
      </c>
      <c r="B33" t="n">
        <v>68021.6021277232</v>
      </c>
    </row>
    <row r="34">
      <c r="A34" t="s">
        <v>153</v>
      </c>
      <c r="B34" t="n">
        <v>596497890.200877</v>
      </c>
    </row>
    <row r="35">
      <c r="A35" t="s">
        <v>154</v>
      </c>
      <c r="B35" t="n">
        <v>32009.9041727853</v>
      </c>
    </row>
    <row r="36">
      <c r="A36" t="s">
        <v>155</v>
      </c>
      <c r="B36" t="n">
        <v>4384341550.34369</v>
      </c>
    </row>
    <row r="37">
      <c r="A37" t="s">
        <v>156</v>
      </c>
      <c r="B37" t="n">
        <v>0</v>
      </c>
    </row>
    <row r="38">
      <c r="A38" t="s">
        <v>157</v>
      </c>
      <c r="B38" t="n">
        <v>72337738.2295669</v>
      </c>
    </row>
    <row r="39">
      <c r="A39" t="s">
        <v>158</v>
      </c>
      <c r="B39" t="n">
        <v>0</v>
      </c>
    </row>
    <row r="40">
      <c r="A40" t="s">
        <v>159</v>
      </c>
      <c r="B40" t="n">
        <v>518022018.477914</v>
      </c>
    </row>
    <row r="41">
      <c r="A41" t="s">
        <v>160</v>
      </c>
      <c r="B41" t="n">
        <v>521866933.339911</v>
      </c>
    </row>
    <row r="42">
      <c r="A42" t="s">
        <v>161</v>
      </c>
      <c r="B42" t="n">
        <v>89988499.4909509</v>
      </c>
    </row>
    <row r="43">
      <c r="A43" t="s">
        <v>162</v>
      </c>
      <c r="B43" t="n">
        <v>2839644.49800862</v>
      </c>
    </row>
    <row r="44">
      <c r="A44" t="s">
        <v>163</v>
      </c>
      <c r="B44" t="n">
        <v>198628.188886178</v>
      </c>
    </row>
    <row r="45">
      <c r="A45" t="s">
        <v>164</v>
      </c>
      <c r="B45" t="n">
        <v>3552001854.45879</v>
      </c>
    </row>
    <row r="46">
      <c r="A46" t="s">
        <v>165</v>
      </c>
      <c r="B46" t="n">
        <v>363596.869466261</v>
      </c>
    </row>
    <row r="47">
      <c r="A47" t="s">
        <v>166</v>
      </c>
      <c r="B47" t="n">
        <v>4040943403.88762</v>
      </c>
    </row>
    <row r="48">
      <c r="A48" t="s">
        <v>167</v>
      </c>
      <c r="B48" t="n">
        <v>468734.730675288</v>
      </c>
    </row>
    <row r="49">
      <c r="A49" t="s">
        <v>168</v>
      </c>
      <c r="B49" t="n">
        <v>0</v>
      </c>
    </row>
    <row r="50">
      <c r="A50" t="s">
        <v>169</v>
      </c>
      <c r="B50" t="n">
        <v>0</v>
      </c>
    </row>
    <row r="51">
      <c r="A51" t="s">
        <v>170</v>
      </c>
      <c r="B51" t="n">
        <v>928927070.806138</v>
      </c>
    </row>
    <row r="52">
      <c r="A52" t="s">
        <v>171</v>
      </c>
      <c r="B52" t="n">
        <v>1439263.45784256</v>
      </c>
    </row>
    <row r="53">
      <c r="A53" t="s">
        <v>172</v>
      </c>
      <c r="B53" t="n">
        <v>1137921.01786753</v>
      </c>
    </row>
    <row r="54">
      <c r="A54" t="s">
        <v>173</v>
      </c>
      <c r="B54" t="n">
        <v>4709944785.27618</v>
      </c>
    </row>
    <row r="55">
      <c r="A55" t="s">
        <v>174</v>
      </c>
      <c r="B55" t="n">
        <v>5278448847.26816</v>
      </c>
    </row>
    <row r="56">
      <c r="A56" t="s">
        <v>175</v>
      </c>
      <c r="B56" t="n">
        <v>2452816666.20403</v>
      </c>
    </row>
    <row r="57">
      <c r="A57" t="s">
        <v>176</v>
      </c>
      <c r="B57" t="n">
        <v>1164782468.75202</v>
      </c>
    </row>
    <row r="58">
      <c r="A58" t="s">
        <v>177</v>
      </c>
      <c r="B58" t="n">
        <v>1119623562.0251</v>
      </c>
    </row>
    <row r="59">
      <c r="A59" t="s">
        <v>178</v>
      </c>
      <c r="B59" t="n">
        <v>0</v>
      </c>
    </row>
    <row r="60">
      <c r="A60" t="s">
        <v>179</v>
      </c>
      <c r="B60" t="n">
        <v>0</v>
      </c>
    </row>
    <row r="61">
      <c r="A61" t="s">
        <v>180</v>
      </c>
      <c r="B61" t="n">
        <v>0</v>
      </c>
    </row>
    <row r="62">
      <c r="A62" t="s">
        <v>181</v>
      </c>
      <c r="B62" t="n">
        <v>0</v>
      </c>
    </row>
    <row r="63">
      <c r="A63" t="s">
        <v>182</v>
      </c>
      <c r="B63" t="n">
        <v>215260.790885912</v>
      </c>
    </row>
    <row r="64">
      <c r="A64" t="s">
        <v>183</v>
      </c>
      <c r="B64" t="n">
        <v>542762387.103574</v>
      </c>
    </row>
    <row r="65">
      <c r="A65" t="s">
        <v>184</v>
      </c>
      <c r="B65" t="n">
        <v>889589.432150894</v>
      </c>
    </row>
    <row r="66">
      <c r="A66" t="s">
        <v>185</v>
      </c>
      <c r="B66" t="n">
        <v>0</v>
      </c>
    </row>
    <row r="67">
      <c r="A67" t="s">
        <v>186</v>
      </c>
      <c r="B67" t="n">
        <v>686442416.253075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332897183.378267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0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196</v>
      </c>
    </row>
    <row r="2">
      <c r="A2" t="s">
        <v>121</v>
      </c>
      <c r="B2" t="n">
        <v>259373667.860634</v>
      </c>
    </row>
    <row r="3">
      <c r="A3" t="s">
        <v>122</v>
      </c>
      <c r="B3" t="n">
        <v>2724375.72480385</v>
      </c>
    </row>
    <row r="4">
      <c r="A4" t="s">
        <v>123</v>
      </c>
      <c r="B4" t="n">
        <v>87049370.9023602</v>
      </c>
    </row>
    <row r="5">
      <c r="A5" t="s">
        <v>124</v>
      </c>
      <c r="B5" t="n">
        <v>3287529.21085039</v>
      </c>
    </row>
    <row r="6">
      <c r="A6" t="s">
        <v>125</v>
      </c>
      <c r="B6" t="n">
        <v>71606.9617709453</v>
      </c>
    </row>
    <row r="7">
      <c r="A7" t="s">
        <v>126</v>
      </c>
      <c r="B7" t="n">
        <v>39958652.4650181</v>
      </c>
    </row>
    <row r="8">
      <c r="A8" t="s">
        <v>127</v>
      </c>
      <c r="B8" t="n">
        <v>580231.230580179</v>
      </c>
    </row>
    <row r="9">
      <c r="A9" t="s">
        <v>128</v>
      </c>
      <c r="B9" t="n">
        <v>5560484.51883689</v>
      </c>
    </row>
    <row r="10">
      <c r="A10" t="s">
        <v>129</v>
      </c>
      <c r="B10" t="n">
        <v>18389655.231119</v>
      </c>
    </row>
    <row r="11">
      <c r="A11" t="s">
        <v>130</v>
      </c>
      <c r="B11" t="n">
        <v>97197250.691519</v>
      </c>
    </row>
    <row r="12">
      <c r="A12" t="s">
        <v>131</v>
      </c>
      <c r="B12" t="n">
        <v>161887589.320148</v>
      </c>
    </row>
    <row r="13">
      <c r="A13" t="s">
        <v>132</v>
      </c>
      <c r="B13" t="n">
        <v>380781585.131317</v>
      </c>
    </row>
    <row r="14">
      <c r="A14" t="s">
        <v>133</v>
      </c>
      <c r="B14" t="n">
        <v>64840394.2002295</v>
      </c>
    </row>
    <row r="15">
      <c r="A15" t="s">
        <v>134</v>
      </c>
      <c r="B15" t="n">
        <v>149302634.663304</v>
      </c>
    </row>
    <row r="16">
      <c r="A16" t="s">
        <v>135</v>
      </c>
      <c r="B16" t="n">
        <v>150051385.114273</v>
      </c>
    </row>
    <row r="17">
      <c r="A17" t="s">
        <v>136</v>
      </c>
      <c r="B17" t="n">
        <v>1677881582.51961</v>
      </c>
    </row>
    <row r="18">
      <c r="A18" t="s">
        <v>137</v>
      </c>
      <c r="B18" t="n">
        <v>14665519.9080265</v>
      </c>
    </row>
    <row r="19">
      <c r="A19" t="s">
        <v>138</v>
      </c>
      <c r="B19" t="n">
        <v>11866487.9459497</v>
      </c>
    </row>
    <row r="20">
      <c r="A20" t="s">
        <v>139</v>
      </c>
      <c r="B20" t="n">
        <v>688604164.116766</v>
      </c>
    </row>
    <row r="21">
      <c r="A21" t="s">
        <v>140</v>
      </c>
      <c r="B21" t="n">
        <v>7151475.38216633</v>
      </c>
    </row>
    <row r="22">
      <c r="A22" t="s">
        <v>141</v>
      </c>
      <c r="B22" t="n">
        <v>13770932.0559266</v>
      </c>
    </row>
    <row r="23">
      <c r="A23" t="s">
        <v>142</v>
      </c>
      <c r="B23" t="n">
        <v>435115162.461159</v>
      </c>
    </row>
    <row r="24">
      <c r="A24" t="s">
        <v>143</v>
      </c>
      <c r="B24" t="n">
        <v>11940877.4279276</v>
      </c>
    </row>
    <row r="25">
      <c r="A25" t="s">
        <v>144</v>
      </c>
      <c r="B25" t="n">
        <v>37260706.2875927</v>
      </c>
    </row>
    <row r="26">
      <c r="A26" t="s">
        <v>145</v>
      </c>
      <c r="B26" t="n">
        <v>608254497.822336</v>
      </c>
    </row>
    <row r="27">
      <c r="A27" t="s">
        <v>146</v>
      </c>
      <c r="B27" t="n">
        <v>205410057.802858</v>
      </c>
    </row>
    <row r="28">
      <c r="A28" t="s">
        <v>147</v>
      </c>
      <c r="B28" t="n">
        <v>1670228853.3554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0</v>
      </c>
    </row>
    <row r="32">
      <c r="A32" t="s">
        <v>151</v>
      </c>
      <c r="B32" t="n">
        <v>0</v>
      </c>
    </row>
    <row r="33">
      <c r="A33" t="s">
        <v>152</v>
      </c>
      <c r="B33" t="n">
        <v>45245838.3515483</v>
      </c>
    </row>
    <row r="34">
      <c r="A34" t="s">
        <v>153</v>
      </c>
      <c r="B34" t="n">
        <v>206023023.671901</v>
      </c>
    </row>
    <row r="35">
      <c r="A35" t="s">
        <v>154</v>
      </c>
      <c r="B35" t="n">
        <v>2870939.37103536</v>
      </c>
    </row>
    <row r="36">
      <c r="A36" t="s">
        <v>155</v>
      </c>
      <c r="B36" t="n">
        <v>573336946.338087</v>
      </c>
    </row>
    <row r="37">
      <c r="A37" t="s">
        <v>156</v>
      </c>
      <c r="B37" t="n">
        <v>0</v>
      </c>
    </row>
    <row r="38">
      <c r="A38" t="s">
        <v>157</v>
      </c>
      <c r="B38" t="n">
        <v>22914036.0170535</v>
      </c>
    </row>
    <row r="39">
      <c r="A39" t="s">
        <v>158</v>
      </c>
      <c r="B39" t="n">
        <v>73426487.5454852</v>
      </c>
    </row>
    <row r="40">
      <c r="A40" t="s">
        <v>159</v>
      </c>
      <c r="B40" t="n">
        <v>1228074.77976434</v>
      </c>
    </row>
    <row r="41">
      <c r="A41" t="s">
        <v>160</v>
      </c>
      <c r="B41" t="n">
        <v>108260326.763215</v>
      </c>
    </row>
    <row r="42">
      <c r="A42" t="s">
        <v>161</v>
      </c>
      <c r="B42" t="n">
        <v>20919489.8303862</v>
      </c>
    </row>
    <row r="43">
      <c r="A43" t="s">
        <v>162</v>
      </c>
      <c r="B43" t="n">
        <v>29789225.1772576</v>
      </c>
    </row>
    <row r="44">
      <c r="A44" t="s">
        <v>163</v>
      </c>
      <c r="B44" t="n">
        <v>11514909.383213</v>
      </c>
    </row>
    <row r="45">
      <c r="A45" t="s">
        <v>164</v>
      </c>
      <c r="B45" t="n">
        <v>343708481.375776</v>
      </c>
    </row>
    <row r="46">
      <c r="A46" t="s">
        <v>165</v>
      </c>
      <c r="B46" t="n">
        <v>134534327.723417</v>
      </c>
    </row>
    <row r="47">
      <c r="A47" t="s">
        <v>166</v>
      </c>
      <c r="B47" t="n">
        <v>87478019.0223628</v>
      </c>
    </row>
    <row r="48">
      <c r="A48" t="s">
        <v>167</v>
      </c>
      <c r="B48" t="n">
        <v>0</v>
      </c>
    </row>
    <row r="49">
      <c r="A49" t="s">
        <v>168</v>
      </c>
      <c r="B49" t="n">
        <v>0</v>
      </c>
    </row>
    <row r="50">
      <c r="A50" t="s">
        <v>169</v>
      </c>
      <c r="B50" t="n">
        <v>10049021.3987498</v>
      </c>
    </row>
    <row r="51">
      <c r="A51" t="s">
        <v>170</v>
      </c>
      <c r="B51" t="n">
        <v>375798461.133491</v>
      </c>
    </row>
    <row r="52">
      <c r="A52" t="s">
        <v>171</v>
      </c>
      <c r="B52" t="n">
        <v>45830431.3544287</v>
      </c>
    </row>
    <row r="53">
      <c r="A53" t="s">
        <v>172</v>
      </c>
      <c r="B53" t="n">
        <v>126578540.257694</v>
      </c>
    </row>
    <row r="54">
      <c r="A54" t="s">
        <v>173</v>
      </c>
      <c r="B54" t="n">
        <v>526433346.238332</v>
      </c>
    </row>
    <row r="55">
      <c r="A55" t="s">
        <v>174</v>
      </c>
      <c r="B55" t="n">
        <v>61382221.1044869</v>
      </c>
    </row>
    <row r="56">
      <c r="A56" t="s">
        <v>175</v>
      </c>
      <c r="B56" t="n">
        <v>17094622.3436332</v>
      </c>
    </row>
    <row r="57">
      <c r="A57" t="s">
        <v>176</v>
      </c>
      <c r="B57" t="n">
        <v>2200182.97379138</v>
      </c>
    </row>
    <row r="58">
      <c r="A58" t="s">
        <v>177</v>
      </c>
      <c r="B58" t="n">
        <v>10893649.2590409</v>
      </c>
    </row>
    <row r="59">
      <c r="A59" t="s">
        <v>178</v>
      </c>
      <c r="B59" t="n">
        <v>7684055.29514301</v>
      </c>
    </row>
    <row r="60">
      <c r="A60" t="s">
        <v>179</v>
      </c>
      <c r="B60" t="n">
        <v>31192654.8680375</v>
      </c>
    </row>
    <row r="61">
      <c r="A61" t="s">
        <v>180</v>
      </c>
      <c r="B61" t="n">
        <v>2089797.82386159</v>
      </c>
    </row>
    <row r="62">
      <c r="A62" t="s">
        <v>181</v>
      </c>
      <c r="B62" t="n">
        <v>0</v>
      </c>
    </row>
    <row r="63">
      <c r="A63" t="s">
        <v>182</v>
      </c>
      <c r="B63" t="n">
        <v>3503390.51370869</v>
      </c>
    </row>
    <row r="64">
      <c r="A64" t="s">
        <v>183</v>
      </c>
      <c r="B64" t="n">
        <v>78391.3645634226</v>
      </c>
    </row>
    <row r="65">
      <c r="A65" t="s">
        <v>184</v>
      </c>
      <c r="B65" t="n">
        <v>0</v>
      </c>
    </row>
    <row r="66">
      <c r="A66" t="s">
        <v>185</v>
      </c>
      <c r="B66" t="n">
        <v>18584351.9602352</v>
      </c>
    </row>
    <row r="67">
      <c r="A67" t="s">
        <v>186</v>
      </c>
      <c r="B67" t="n">
        <v>554007.268072849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4284138.25985841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336821586.418493</v>
      </c>
    </row>
    <row r="74">
      <c r="A74" t="s">
        <v>193</v>
      </c>
      <c r="B74" t="n">
        <v>1140468880.58686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119</v>
      </c>
      <c r="B1" t="s">
        <v>197</v>
      </c>
    </row>
    <row r="2">
      <c r="A2" t="str">
        <f>'3_ESoP_RoUS_exports_by_BEA'!A2</f>
      </c>
      <c r="B2" t="str">
        <f>'3_ESoP_RoUS_exports_by_BEA'!B2+'4_ESoP_intl_exports_by_BEA'!B2</f>
      </c>
    </row>
    <row r="3">
      <c r="A3" t="str">
        <f>'3_ESoP_RoUS_exports_by_BEA'!A3</f>
      </c>
      <c r="B3" t="str">
        <f>'3_ESoP_RoUS_exports_by_BEA'!B3+'4_ESoP_intl_exports_by_BEA'!B3</f>
      </c>
    </row>
    <row r="4">
      <c r="A4" t="str">
        <f>'3_ESoP_RoUS_exports_by_BEA'!A4</f>
      </c>
      <c r="B4" t="str">
        <f>'3_ESoP_RoUS_exports_by_BEA'!B4+'4_ESoP_intl_exports_by_BEA'!B4</f>
      </c>
    </row>
    <row r="5">
      <c r="A5" t="str">
        <f>'3_ESoP_RoUS_exports_by_BEA'!A5</f>
      </c>
      <c r="B5" t="str">
        <f>'3_ESoP_RoUS_exports_by_BEA'!B5+'4_ESoP_intl_exports_by_BEA'!B5</f>
      </c>
    </row>
    <row r="6">
      <c r="A6" t="str">
        <f>'3_ESoP_RoUS_exports_by_BEA'!A6</f>
      </c>
      <c r="B6" t="str">
        <f>'3_ESoP_RoUS_exports_by_BEA'!B6+'4_ESoP_intl_exports_by_BEA'!B6</f>
      </c>
    </row>
    <row r="7">
      <c r="A7" t="str">
        <f>'3_ESoP_RoUS_exports_by_BEA'!A7</f>
      </c>
      <c r="B7" t="str">
        <f>'3_ESoP_RoUS_exports_by_BEA'!B7+'4_ESoP_intl_exports_by_BEA'!B7</f>
      </c>
    </row>
    <row r="8">
      <c r="A8" t="str">
        <f>'3_ESoP_RoUS_exports_by_BEA'!A8</f>
      </c>
      <c r="B8" t="str">
        <f>'3_ESoP_RoUS_exports_by_BEA'!B8+'4_ESoP_intl_exports_by_BEA'!B8</f>
      </c>
    </row>
    <row r="9">
      <c r="A9" t="str">
        <f>'3_ESoP_RoUS_exports_by_BEA'!A9</f>
      </c>
      <c r="B9" t="str">
        <f>'3_ESoP_RoUS_exports_by_BEA'!B9+'4_ESoP_intl_exports_by_BEA'!B9</f>
      </c>
    </row>
    <row r="10">
      <c r="A10" t="str">
        <f>'3_ESoP_RoUS_exports_by_BEA'!A10</f>
      </c>
      <c r="B10" t="str">
        <f>'3_ESoP_RoUS_exports_by_BEA'!B10+'4_ESoP_intl_exports_by_BEA'!B10</f>
      </c>
    </row>
    <row r="11">
      <c r="A11" t="str">
        <f>'3_ESoP_RoUS_exports_by_BEA'!A11</f>
      </c>
      <c r="B11" t="str">
        <f>'3_ESoP_RoUS_exports_by_BEA'!B11+'4_ESoP_intl_exports_by_BEA'!B11</f>
      </c>
    </row>
    <row r="12">
      <c r="A12" t="str">
        <f>'3_ESoP_RoUS_exports_by_BEA'!A12</f>
      </c>
      <c r="B12" t="str">
        <f>'3_ESoP_RoUS_exports_by_BEA'!B12+'4_ESoP_intl_exports_by_BEA'!B12</f>
      </c>
    </row>
    <row r="13">
      <c r="A13" t="str">
        <f>'3_ESoP_RoUS_exports_by_BEA'!A13</f>
      </c>
      <c r="B13" t="str">
        <f>'3_ESoP_RoUS_exports_by_BEA'!B13+'4_ESoP_intl_exports_by_BEA'!B13</f>
      </c>
    </row>
    <row r="14">
      <c r="A14" t="str">
        <f>'3_ESoP_RoUS_exports_by_BEA'!A14</f>
      </c>
      <c r="B14" t="str">
        <f>'3_ESoP_RoUS_exports_by_BEA'!B14+'4_ESoP_intl_exports_by_BEA'!B14</f>
      </c>
    </row>
    <row r="15">
      <c r="A15" t="str">
        <f>'3_ESoP_RoUS_exports_by_BEA'!A15</f>
      </c>
      <c r="B15" t="str">
        <f>'3_ESoP_RoUS_exports_by_BEA'!B15+'4_ESoP_intl_exports_by_BEA'!B15</f>
      </c>
    </row>
    <row r="16">
      <c r="A16" t="str">
        <f>'3_ESoP_RoUS_exports_by_BEA'!A16</f>
      </c>
      <c r="B16" t="str">
        <f>'3_ESoP_RoUS_exports_by_BEA'!B16+'4_ESoP_intl_exports_by_BEA'!B16</f>
      </c>
    </row>
    <row r="17">
      <c r="A17" t="str">
        <f>'3_ESoP_RoUS_exports_by_BEA'!A17</f>
      </c>
      <c r="B17" t="str">
        <f>'3_ESoP_RoUS_exports_by_BEA'!B17+'4_ESoP_intl_exports_by_BEA'!B17</f>
      </c>
    </row>
    <row r="18">
      <c r="A18" t="str">
        <f>'3_ESoP_RoUS_exports_by_BEA'!A18</f>
      </c>
      <c r="B18" t="str">
        <f>'3_ESoP_RoUS_exports_by_BEA'!B18+'4_ESoP_intl_exports_by_BEA'!B18</f>
      </c>
    </row>
    <row r="19">
      <c r="A19" t="str">
        <f>'3_ESoP_RoUS_exports_by_BEA'!A19</f>
      </c>
      <c r="B19" t="str">
        <f>'3_ESoP_RoUS_exports_by_BEA'!B19+'4_ESoP_intl_exports_by_BEA'!B19</f>
      </c>
    </row>
    <row r="20">
      <c r="A20" t="str">
        <f>'3_ESoP_RoUS_exports_by_BEA'!A20</f>
      </c>
      <c r="B20" t="str">
        <f>'3_ESoP_RoUS_exports_by_BEA'!B20+'4_ESoP_intl_exports_by_BEA'!B20</f>
      </c>
    </row>
    <row r="21">
      <c r="A21" t="str">
        <f>'3_ESoP_RoUS_exports_by_BEA'!A21</f>
      </c>
      <c r="B21" t="str">
        <f>'3_ESoP_RoUS_exports_by_BEA'!B21+'4_ESoP_intl_exports_by_BEA'!B21</f>
      </c>
    </row>
    <row r="22">
      <c r="A22" t="str">
        <f>'3_ESoP_RoUS_exports_by_BEA'!A22</f>
      </c>
      <c r="B22" t="str">
        <f>'3_ESoP_RoUS_exports_by_BEA'!B22+'4_ESoP_intl_exports_by_BEA'!B22</f>
      </c>
    </row>
    <row r="23">
      <c r="A23" t="str">
        <f>'3_ESoP_RoUS_exports_by_BEA'!A23</f>
      </c>
      <c r="B23" t="str">
        <f>'3_ESoP_RoUS_exports_by_BEA'!B23+'4_ESoP_intl_exports_by_BEA'!B23</f>
      </c>
    </row>
    <row r="24">
      <c r="A24" t="str">
        <f>'3_ESoP_RoUS_exports_by_BEA'!A24</f>
      </c>
      <c r="B24" t="str">
        <f>'3_ESoP_RoUS_exports_by_BEA'!B24+'4_ESoP_intl_exports_by_BEA'!B24</f>
      </c>
    </row>
    <row r="25">
      <c r="A25" t="str">
        <f>'3_ESoP_RoUS_exports_by_BEA'!A25</f>
      </c>
      <c r="B25" t="str">
        <f>'3_ESoP_RoUS_exports_by_BEA'!B25+'4_ESoP_intl_exports_by_BEA'!B25</f>
      </c>
    </row>
    <row r="26">
      <c r="A26" t="str">
        <f>'3_ESoP_RoUS_exports_by_BEA'!A26</f>
      </c>
      <c r="B26" t="str">
        <f>'3_ESoP_RoUS_exports_by_BEA'!B26+'4_ESoP_intl_exports_by_BEA'!B26</f>
      </c>
    </row>
    <row r="27">
      <c r="A27" t="str">
        <f>'3_ESoP_RoUS_exports_by_BEA'!A27</f>
      </c>
      <c r="B27" t="str">
        <f>'3_ESoP_RoUS_exports_by_BEA'!B27+'4_ESoP_intl_exports_by_BEA'!B27</f>
      </c>
    </row>
    <row r="28">
      <c r="A28" t="str">
        <f>'3_ESoP_RoUS_exports_by_BEA'!A28</f>
      </c>
      <c r="B28" t="str">
        <f>'3_ESoP_RoUS_exports_by_BEA'!B28+'4_ESoP_intl_exports_by_BEA'!B28</f>
      </c>
    </row>
    <row r="29">
      <c r="A29" t="str">
        <f>'3_ESoP_RoUS_exports_by_BEA'!A29</f>
      </c>
      <c r="B29" t="str">
        <f>'3_ESoP_RoUS_exports_by_BEA'!B29+'4_ESoP_intl_exports_by_BEA'!B29</f>
      </c>
    </row>
    <row r="30">
      <c r="A30" t="str">
        <f>'3_ESoP_RoUS_exports_by_BEA'!A30</f>
      </c>
      <c r="B30" t="str">
        <f>'3_ESoP_RoUS_exports_by_BEA'!B30+'4_ESoP_intl_exports_by_BEA'!B30</f>
      </c>
    </row>
    <row r="31">
      <c r="A31" t="str">
        <f>'3_ESoP_RoUS_exports_by_BEA'!A31</f>
      </c>
      <c r="B31" t="str">
        <f>'3_ESoP_RoUS_exports_by_BEA'!B31+'4_ESoP_intl_exports_by_BEA'!B31</f>
      </c>
    </row>
    <row r="32">
      <c r="A32" t="str">
        <f>'3_ESoP_RoUS_exports_by_BEA'!A32</f>
      </c>
      <c r="B32" t="str">
        <f>'3_ESoP_RoUS_exports_by_BEA'!B32+'4_ESoP_intl_exports_by_BEA'!B32</f>
      </c>
    </row>
    <row r="33">
      <c r="A33" t="str">
        <f>'3_ESoP_RoUS_exports_by_BEA'!A33</f>
      </c>
      <c r="B33" t="str">
        <f>'3_ESoP_RoUS_exports_by_BEA'!B33+'4_ESoP_intl_exports_by_BEA'!B33</f>
      </c>
    </row>
    <row r="34">
      <c r="A34" t="str">
        <f>'3_ESoP_RoUS_exports_by_BEA'!A34</f>
      </c>
      <c r="B34" t="str">
        <f>'3_ESoP_RoUS_exports_by_BEA'!B34+'4_ESoP_intl_exports_by_BEA'!B34</f>
      </c>
    </row>
    <row r="35">
      <c r="A35" t="str">
        <f>'3_ESoP_RoUS_exports_by_BEA'!A35</f>
      </c>
      <c r="B35" t="str">
        <f>'3_ESoP_RoUS_exports_by_BEA'!B35+'4_ESoP_intl_exports_by_BEA'!B35</f>
      </c>
    </row>
    <row r="36">
      <c r="A36" t="str">
        <f>'3_ESoP_RoUS_exports_by_BEA'!A36</f>
      </c>
      <c r="B36" t="str">
        <f>'3_ESoP_RoUS_exports_by_BEA'!B36+'4_ESoP_intl_exports_by_BEA'!B36</f>
      </c>
    </row>
    <row r="37">
      <c r="A37" t="str">
        <f>'3_ESoP_RoUS_exports_by_BEA'!A37</f>
      </c>
      <c r="B37" t="str">
        <f>'3_ESoP_RoUS_exports_by_BEA'!B37+'4_ESoP_intl_exports_by_BEA'!B37</f>
      </c>
    </row>
    <row r="38">
      <c r="A38" t="str">
        <f>'3_ESoP_RoUS_exports_by_BEA'!A38</f>
      </c>
      <c r="B38" t="str">
        <f>'3_ESoP_RoUS_exports_by_BEA'!B38+'4_ESoP_intl_exports_by_BEA'!B38</f>
      </c>
    </row>
    <row r="39">
      <c r="A39" t="str">
        <f>'3_ESoP_RoUS_exports_by_BEA'!A39</f>
      </c>
      <c r="B39" t="str">
        <f>'3_ESoP_RoUS_exports_by_BEA'!B39+'4_ESoP_intl_exports_by_BEA'!B39</f>
      </c>
    </row>
    <row r="40">
      <c r="A40" t="str">
        <f>'3_ESoP_RoUS_exports_by_BEA'!A40</f>
      </c>
      <c r="B40" t="str">
        <f>'3_ESoP_RoUS_exports_by_BEA'!B40+'4_ESoP_intl_exports_by_BEA'!B40</f>
      </c>
    </row>
    <row r="41">
      <c r="A41" t="str">
        <f>'3_ESoP_RoUS_exports_by_BEA'!A41</f>
      </c>
      <c r="B41" t="str">
        <f>'3_ESoP_RoUS_exports_by_BEA'!B41+'4_ESoP_intl_exports_by_BEA'!B41</f>
      </c>
    </row>
    <row r="42">
      <c r="A42" t="str">
        <f>'3_ESoP_RoUS_exports_by_BEA'!A42</f>
      </c>
      <c r="B42" t="str">
        <f>'3_ESoP_RoUS_exports_by_BEA'!B42+'4_ESoP_intl_exports_by_BEA'!B42</f>
      </c>
    </row>
    <row r="43">
      <c r="A43" t="str">
        <f>'3_ESoP_RoUS_exports_by_BEA'!A43</f>
      </c>
      <c r="B43" t="str">
        <f>'3_ESoP_RoUS_exports_by_BEA'!B43+'4_ESoP_intl_exports_by_BEA'!B43</f>
      </c>
    </row>
    <row r="44">
      <c r="A44" t="str">
        <f>'3_ESoP_RoUS_exports_by_BEA'!A44</f>
      </c>
      <c r="B44" t="str">
        <f>'3_ESoP_RoUS_exports_by_BEA'!B44+'4_ESoP_intl_exports_by_BEA'!B44</f>
      </c>
    </row>
    <row r="45">
      <c r="A45" t="str">
        <f>'3_ESoP_RoUS_exports_by_BEA'!A45</f>
      </c>
      <c r="B45" t="str">
        <f>'3_ESoP_RoUS_exports_by_BEA'!B45+'4_ESoP_intl_exports_by_BEA'!B45</f>
      </c>
    </row>
    <row r="46">
      <c r="A46" t="str">
        <f>'3_ESoP_RoUS_exports_by_BEA'!A46</f>
      </c>
      <c r="B46" t="str">
        <f>'3_ESoP_RoUS_exports_by_BEA'!B46+'4_ESoP_intl_exports_by_BEA'!B46</f>
      </c>
    </row>
    <row r="47">
      <c r="A47" t="str">
        <f>'3_ESoP_RoUS_exports_by_BEA'!A47</f>
      </c>
      <c r="B47" t="str">
        <f>'3_ESoP_RoUS_exports_by_BEA'!B47+'4_ESoP_intl_exports_by_BEA'!B47</f>
      </c>
    </row>
    <row r="48">
      <c r="A48" t="str">
        <f>'3_ESoP_RoUS_exports_by_BEA'!A48</f>
      </c>
      <c r="B48" t="str">
        <f>'3_ESoP_RoUS_exports_by_BEA'!B48+'4_ESoP_intl_exports_by_BEA'!B48</f>
      </c>
    </row>
    <row r="49">
      <c r="A49" t="str">
        <f>'3_ESoP_RoUS_exports_by_BEA'!A49</f>
      </c>
      <c r="B49" t="str">
        <f>'3_ESoP_RoUS_exports_by_BEA'!B49+'4_ESoP_intl_exports_by_BEA'!B49</f>
      </c>
    </row>
    <row r="50">
      <c r="A50" t="str">
        <f>'3_ESoP_RoUS_exports_by_BEA'!A50</f>
      </c>
      <c r="B50" t="str">
        <f>'3_ESoP_RoUS_exports_by_BEA'!B50+'4_ESoP_intl_exports_by_BEA'!B50</f>
      </c>
    </row>
    <row r="51">
      <c r="A51" t="str">
        <f>'3_ESoP_RoUS_exports_by_BEA'!A51</f>
      </c>
      <c r="B51" t="str">
        <f>'3_ESoP_RoUS_exports_by_BEA'!B51+'4_ESoP_intl_exports_by_BEA'!B51</f>
      </c>
    </row>
    <row r="52">
      <c r="A52" t="str">
        <f>'3_ESoP_RoUS_exports_by_BEA'!A52</f>
      </c>
      <c r="B52" t="str">
        <f>'3_ESoP_RoUS_exports_by_BEA'!B52+'4_ESoP_intl_exports_by_BEA'!B52</f>
      </c>
    </row>
    <row r="53">
      <c r="A53" t="str">
        <f>'3_ESoP_RoUS_exports_by_BEA'!A53</f>
      </c>
      <c r="B53" t="str">
        <f>'3_ESoP_RoUS_exports_by_BEA'!B53+'4_ESoP_intl_exports_by_BEA'!B53</f>
      </c>
    </row>
    <row r="54">
      <c r="A54" t="str">
        <f>'3_ESoP_RoUS_exports_by_BEA'!A54</f>
      </c>
      <c r="B54" t="str">
        <f>'3_ESoP_RoUS_exports_by_BEA'!B54+'4_ESoP_intl_exports_by_BEA'!B54</f>
      </c>
    </row>
    <row r="55">
      <c r="A55" t="str">
        <f>'3_ESoP_RoUS_exports_by_BEA'!A55</f>
      </c>
      <c r="B55" t="str">
        <f>'3_ESoP_RoUS_exports_by_BEA'!B55+'4_ESoP_intl_exports_by_BEA'!B55</f>
      </c>
    </row>
    <row r="56">
      <c r="A56" t="str">
        <f>'3_ESoP_RoUS_exports_by_BEA'!A56</f>
      </c>
      <c r="B56" t="str">
        <f>'3_ESoP_RoUS_exports_by_BEA'!B56+'4_ESoP_intl_exports_by_BEA'!B56</f>
      </c>
    </row>
    <row r="57">
      <c r="A57" t="str">
        <f>'3_ESoP_RoUS_exports_by_BEA'!A57</f>
      </c>
      <c r="B57" t="str">
        <f>'3_ESoP_RoUS_exports_by_BEA'!B57+'4_ESoP_intl_exports_by_BEA'!B57</f>
      </c>
    </row>
    <row r="58">
      <c r="A58" t="str">
        <f>'3_ESoP_RoUS_exports_by_BEA'!A58</f>
      </c>
      <c r="B58" t="str">
        <f>'3_ESoP_RoUS_exports_by_BEA'!B58+'4_ESoP_intl_exports_by_BEA'!B58</f>
      </c>
    </row>
    <row r="59">
      <c r="A59" t="str">
        <f>'3_ESoP_RoUS_exports_by_BEA'!A59</f>
      </c>
      <c r="B59" t="str">
        <f>'3_ESoP_RoUS_exports_by_BEA'!B59+'4_ESoP_intl_exports_by_BEA'!B59</f>
      </c>
    </row>
    <row r="60">
      <c r="A60" t="str">
        <f>'3_ESoP_RoUS_exports_by_BEA'!A60</f>
      </c>
      <c r="B60" t="str">
        <f>'3_ESoP_RoUS_exports_by_BEA'!B60+'4_ESoP_intl_exports_by_BEA'!B60</f>
      </c>
    </row>
    <row r="61">
      <c r="A61" t="str">
        <f>'3_ESoP_RoUS_exports_by_BEA'!A61</f>
      </c>
      <c r="B61" t="str">
        <f>'3_ESoP_RoUS_exports_by_BEA'!B61+'4_ESoP_intl_exports_by_BEA'!B61</f>
      </c>
    </row>
    <row r="62">
      <c r="A62" t="str">
        <f>'3_ESoP_RoUS_exports_by_BEA'!A62</f>
      </c>
      <c r="B62" t="str">
        <f>'3_ESoP_RoUS_exports_by_BEA'!B62+'4_ESoP_intl_exports_by_BEA'!B62</f>
      </c>
    </row>
    <row r="63">
      <c r="A63" t="str">
        <f>'3_ESoP_RoUS_exports_by_BEA'!A63</f>
      </c>
      <c r="B63" t="str">
        <f>'3_ESoP_RoUS_exports_by_BEA'!B63+'4_ESoP_intl_exports_by_BEA'!B63</f>
      </c>
    </row>
    <row r="64">
      <c r="A64" t="str">
        <f>'3_ESoP_RoUS_exports_by_BEA'!A64</f>
      </c>
      <c r="B64" t="str">
        <f>'3_ESoP_RoUS_exports_by_BEA'!B64+'4_ESoP_intl_exports_by_BEA'!B64</f>
      </c>
    </row>
    <row r="65">
      <c r="A65" t="str">
        <f>'3_ESoP_RoUS_exports_by_BEA'!A65</f>
      </c>
      <c r="B65" t="str">
        <f>'3_ESoP_RoUS_exports_by_BEA'!B65+'4_ESoP_intl_exports_by_BEA'!B65</f>
      </c>
    </row>
    <row r="66">
      <c r="A66" t="str">
        <f>'3_ESoP_RoUS_exports_by_BEA'!A66</f>
      </c>
      <c r="B66" t="str">
        <f>'3_ESoP_RoUS_exports_by_BEA'!B66+'4_ESoP_intl_exports_by_BEA'!B66</f>
      </c>
    </row>
    <row r="67">
      <c r="A67" t="str">
        <f>'3_ESoP_RoUS_exports_by_BEA'!A67</f>
      </c>
      <c r="B67" t="str">
        <f>'3_ESoP_RoUS_exports_by_BEA'!B67+'4_ESoP_intl_exports_by_BEA'!B67</f>
      </c>
    </row>
    <row r="68">
      <c r="A68" t="str">
        <f>'3_ESoP_RoUS_exports_by_BEA'!A68</f>
      </c>
      <c r="B68" t="str">
        <f>'3_ESoP_RoUS_exports_by_BEA'!B68+'4_ESoP_intl_exports_by_BEA'!B68</f>
      </c>
    </row>
    <row r="69">
      <c r="A69" t="str">
        <f>'3_ESoP_RoUS_exports_by_BEA'!A69</f>
      </c>
      <c r="B69" t="str">
        <f>'3_ESoP_RoUS_exports_by_BEA'!B69+'4_ESoP_intl_exports_by_BEA'!B69</f>
      </c>
    </row>
    <row r="70">
      <c r="A70" t="str">
        <f>'3_ESoP_RoUS_exports_by_BEA'!A70</f>
      </c>
      <c r="B70" t="str">
        <f>'3_ESoP_RoUS_exports_by_BEA'!B70+'4_ESoP_intl_exports_by_BEA'!B70</f>
      </c>
    </row>
    <row r="71">
      <c r="A71" t="str">
        <f>'3_ESoP_RoUS_exports_by_BEA'!A71</f>
      </c>
      <c r="B71" t="str">
        <f>'3_ESoP_RoUS_exports_by_BEA'!B71+'4_ESoP_intl_exports_by_BEA'!B71</f>
      </c>
    </row>
    <row r="72">
      <c r="A72" t="str">
        <f>'3_ESoP_RoUS_exports_by_BEA'!A72</f>
      </c>
      <c r="B72" t="str">
        <f>'3_ESoP_RoUS_exports_by_BEA'!B72+'4_ESoP_intl_exports_by_BEA'!B72</f>
      </c>
    </row>
    <row r="73">
      <c r="A73" t="str">
        <f>'3_ESoP_RoUS_exports_by_BEA'!A73</f>
      </c>
      <c r="B73" t="str">
        <f>'3_ESoP_RoUS_exports_by_BEA'!B73+'4_ESoP_intl_exports_by_BEA'!B73</f>
      </c>
    </row>
    <row r="74">
      <c r="A74" t="str">
        <f>'3_ESoP_RoUS_exports_by_BEA'!A74</f>
      </c>
      <c r="B74" t="str">
        <f>'3_ESoP_RoUS_exports_by_BEA'!B74+'4_ESoP_intl_exports_by_BEA'!B74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198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500972147.324669</v>
      </c>
      <c r="C10" t="n">
        <v>1653610.0730683</v>
      </c>
      <c r="D10" t="n">
        <v>0</v>
      </c>
      <c r="E10" t="n">
        <v>73430.7347287107</v>
      </c>
      <c r="F10" t="n">
        <v>53682.207139014</v>
      </c>
      <c r="G10" t="n">
        <v>0</v>
      </c>
      <c r="H10" t="n">
        <v>4838258.65782846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381709.904091454</v>
      </c>
      <c r="T10" t="n">
        <v>2076248487.42478</v>
      </c>
      <c r="U10" t="n">
        <v>3111338.04205843</v>
      </c>
      <c r="V10" t="n">
        <v>0</v>
      </c>
      <c r="W10" t="n">
        <v>0</v>
      </c>
      <c r="X10" t="n">
        <v>0</v>
      </c>
      <c r="Y10" t="n">
        <v>0</v>
      </c>
      <c r="Z10" t="n">
        <v>26415125.9124231</v>
      </c>
      <c r="AA10" t="n">
        <v>0</v>
      </c>
      <c r="AB10" t="n">
        <v>3661540.21072164</v>
      </c>
      <c r="AC10" t="n">
        <v>3103830.15930254</v>
      </c>
      <c r="AD10" t="n">
        <v>3538791.59714747</v>
      </c>
      <c r="AE10" t="n">
        <v>1216770.30389124</v>
      </c>
      <c r="AF10" t="n">
        <v>1218692.65092022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89920.1833795009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3193.57761556237</v>
      </c>
      <c r="AT10" t="n">
        <v>0</v>
      </c>
      <c r="AU10" t="n">
        <v>0</v>
      </c>
      <c r="AV10" t="n">
        <v>0</v>
      </c>
      <c r="AW10" t="n">
        <v>0</v>
      </c>
      <c r="AX10" t="n">
        <v>9810.5097893804</v>
      </c>
      <c r="AY10" t="n">
        <v>0</v>
      </c>
      <c r="AZ10" t="n">
        <v>1830.79116815694</v>
      </c>
      <c r="BA10" t="n">
        <v>0</v>
      </c>
      <c r="BB10" t="n">
        <v>1681520.7540747</v>
      </c>
      <c r="BC10" t="n">
        <v>186002.988035067</v>
      </c>
      <c r="BD10" t="n">
        <v>5489041.80827139</v>
      </c>
      <c r="BE10" t="n">
        <v>0</v>
      </c>
      <c r="BF10" t="n">
        <v>192866.22537268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748162.238030348</v>
      </c>
      <c r="BM10" t="n">
        <v>86463.7041210717</v>
      </c>
      <c r="BN10" t="n">
        <v>6259771.12406646</v>
      </c>
      <c r="BO10" t="n">
        <v>48193.0970736461</v>
      </c>
      <c r="BP10" t="n">
        <v>18923.9287847308</v>
      </c>
      <c r="BQ10" t="n">
        <v>-1688271.04822178</v>
      </c>
      <c r="BR10" t="n">
        <v>0</v>
      </c>
      <c r="BS10" t="n">
        <v>15050988.2577488</v>
      </c>
      <c r="BT10" t="n">
        <v>0</v>
      </c>
      <c r="BU10" t="n">
        <v>267338038.707941</v>
      </c>
      <c r="BV10" t="n">
        <v>0</v>
      </c>
      <c r="BW10" t="n">
        <v>0</v>
      </c>
      <c r="BX10" t="n">
        <v>0</v>
      </c>
      <c r="BY10" t="n">
        <v>0</v>
      </c>
      <c r="BZ10" t="n">
        <v>-136722615.271027</v>
      </c>
      <c r="CA10" t="n">
        <v>259373667.860634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198713530.050036</v>
      </c>
      <c r="C11" t="n">
        <v>61452994.7029681</v>
      </c>
      <c r="D11" t="n">
        <v>0</v>
      </c>
      <c r="E11" t="n">
        <v>386399.996864728</v>
      </c>
      <c r="F11" t="n">
        <v>0</v>
      </c>
      <c r="G11" t="n">
        <v>0</v>
      </c>
      <c r="H11" t="n">
        <v>0</v>
      </c>
      <c r="I11" t="n">
        <v>226032596.171174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118275.882848341</v>
      </c>
      <c r="S11" t="n">
        <v>103632.752849292</v>
      </c>
      <c r="T11" t="n">
        <v>12304849.4341148</v>
      </c>
      <c r="U11" t="n">
        <v>0</v>
      </c>
      <c r="V11" t="n">
        <v>240652.558544353</v>
      </c>
      <c r="W11" t="n">
        <v>54439036.4231665</v>
      </c>
      <c r="X11" t="n">
        <v>36717.9172486671</v>
      </c>
      <c r="Y11" t="n">
        <v>0</v>
      </c>
      <c r="Z11" t="n">
        <v>188266.764093509</v>
      </c>
      <c r="AA11" t="n">
        <v>4759781.16455716</v>
      </c>
      <c r="AB11" t="n">
        <v>0</v>
      </c>
      <c r="AC11" t="n">
        <v>0</v>
      </c>
      <c r="AD11" t="n">
        <v>350795.84842138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747070.557010675</v>
      </c>
      <c r="BC11" t="n">
        <v>253327.837963922</v>
      </c>
      <c r="BD11" t="n">
        <v>0</v>
      </c>
      <c r="BE11" t="n">
        <v>0</v>
      </c>
      <c r="BF11" t="n">
        <v>19287.3445211581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62083.8713989129</v>
      </c>
      <c r="BM11" t="n">
        <v>126032.116802027</v>
      </c>
      <c r="BN11" t="n">
        <v>2798489.37125542</v>
      </c>
      <c r="BO11" t="n">
        <v>39870.3273192909</v>
      </c>
      <c r="BP11" t="n">
        <v>0</v>
      </c>
      <c r="BQ11" t="n">
        <v>206626.680942478</v>
      </c>
      <c r="BR11" t="n">
        <v>4206.16337541079</v>
      </c>
      <c r="BS11" t="n">
        <v>26942432.5234849</v>
      </c>
      <c r="BT11" t="n">
        <v>0</v>
      </c>
      <c r="BU11" t="n">
        <v>23445825.5381069</v>
      </c>
      <c r="BV11" t="n">
        <v>0</v>
      </c>
      <c r="BW11" t="n">
        <v>0</v>
      </c>
      <c r="BX11" t="n">
        <v>0</v>
      </c>
      <c r="BY11" t="n">
        <v>0</v>
      </c>
      <c r="BZ11" t="n">
        <v>13907870.1376509</v>
      </c>
      <c r="CA11" t="n">
        <v>2724375.72480385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331006.097665435</v>
      </c>
      <c r="E12" t="n">
        <v>0</v>
      </c>
      <c r="F12" t="n">
        <v>624.096145279914</v>
      </c>
      <c r="G12" t="n">
        <v>3334196.37218066</v>
      </c>
      <c r="H12" t="n">
        <v>0</v>
      </c>
      <c r="I12" t="n">
        <v>1823.46277954879</v>
      </c>
      <c r="J12" t="n">
        <v>156.100345375779</v>
      </c>
      <c r="K12" t="n">
        <v>2215.12208677971</v>
      </c>
      <c r="L12" t="n">
        <v>0</v>
      </c>
      <c r="M12" t="n">
        <v>0</v>
      </c>
      <c r="N12" t="n">
        <v>0</v>
      </c>
      <c r="O12" t="n">
        <v>0</v>
      </c>
      <c r="P12" t="n">
        <v>77.3595084449813</v>
      </c>
      <c r="Q12" t="n">
        <v>0</v>
      </c>
      <c r="R12" t="n">
        <v>0</v>
      </c>
      <c r="S12" t="n">
        <v>0</v>
      </c>
      <c r="T12" t="n">
        <v>407.996919977988</v>
      </c>
      <c r="U12" t="n">
        <v>0</v>
      </c>
      <c r="V12" t="n">
        <v>0</v>
      </c>
      <c r="W12" t="n">
        <v>0</v>
      </c>
      <c r="X12" t="n">
        <v>218.901282878475</v>
      </c>
      <c r="Y12" t="n">
        <v>11112271.1367956</v>
      </c>
      <c r="Z12" t="n">
        <v>271894.996918861</v>
      </c>
      <c r="AA12" t="n">
        <v>0</v>
      </c>
      <c r="AB12" t="n">
        <v>398.019322063974</v>
      </c>
      <c r="AC12" t="n">
        <v>445.48600642378</v>
      </c>
      <c r="AD12" t="n">
        <v>0</v>
      </c>
      <c r="AE12" t="n">
        <v>354.533144729636</v>
      </c>
      <c r="AF12" t="n">
        <v>435.945267961984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640.144964205373</v>
      </c>
      <c r="AM12" t="n">
        <v>0</v>
      </c>
      <c r="AN12" t="n">
        <v>7566.65391367078</v>
      </c>
      <c r="AO12" t="n">
        <v>1294.24413800805</v>
      </c>
      <c r="AP12" t="n">
        <v>0</v>
      </c>
      <c r="AQ12" t="n">
        <v>68.6622394711983</v>
      </c>
      <c r="AR12" t="n">
        <v>394.115307490385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1444.69128863786</v>
      </c>
      <c r="AY12" t="n">
        <v>0</v>
      </c>
      <c r="AZ12" t="n">
        <v>0</v>
      </c>
      <c r="BA12" t="n">
        <v>80.3695786325208</v>
      </c>
      <c r="BB12" t="n">
        <v>224.185171724098</v>
      </c>
      <c r="BC12" t="n">
        <v>686.48413331562</v>
      </c>
      <c r="BD12" t="n">
        <v>0</v>
      </c>
      <c r="BE12" t="n">
        <v>183.016432313131</v>
      </c>
      <c r="BF12" t="n">
        <v>10512.9509990638</v>
      </c>
      <c r="BG12" t="n">
        <v>186.917362082704</v>
      </c>
      <c r="BH12" t="n">
        <v>0</v>
      </c>
      <c r="BI12" t="n">
        <v>195.702009366808</v>
      </c>
      <c r="BJ12" t="n">
        <v>0</v>
      </c>
      <c r="BK12" t="n">
        <v>0</v>
      </c>
      <c r="BL12" t="n">
        <v>1498.12720180273</v>
      </c>
      <c r="BM12" t="n">
        <v>101.535936525667</v>
      </c>
      <c r="BN12" t="n">
        <v>166.83759847839</v>
      </c>
      <c r="BO12" t="n">
        <v>509.346455332725</v>
      </c>
      <c r="BP12" t="n">
        <v>0</v>
      </c>
      <c r="BQ12" t="n">
        <v>0</v>
      </c>
      <c r="BR12" t="n">
        <v>108453.236608187</v>
      </c>
      <c r="BS12" t="n">
        <v>0</v>
      </c>
      <c r="BT12" t="n">
        <v>1352846.13117402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4727987.11376797</v>
      </c>
      <c r="CA12" t="n">
        <v>87049370.9023602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4963628.87554269</v>
      </c>
      <c r="C13" t="n">
        <v>0</v>
      </c>
      <c r="D13" t="n">
        <v>36168.7929857347</v>
      </c>
      <c r="E13" t="n">
        <v>14675222.5906349</v>
      </c>
      <c r="F13" t="n">
        <v>268167.037175757</v>
      </c>
      <c r="G13" t="n">
        <v>23617555.5483235</v>
      </c>
      <c r="H13" t="n">
        <v>35703538.0999943</v>
      </c>
      <c r="I13" t="n">
        <v>87057.9200710514</v>
      </c>
      <c r="J13" t="n">
        <v>23733211.0528044</v>
      </c>
      <c r="K13" t="n">
        <v>83904946.1268368</v>
      </c>
      <c r="L13" t="n">
        <v>2188599.25498165</v>
      </c>
      <c r="M13" t="n">
        <v>329210.0865553</v>
      </c>
      <c r="N13" t="n">
        <v>1172.31633966016</v>
      </c>
      <c r="O13" t="n">
        <v>159714.141697889</v>
      </c>
      <c r="P13" t="n">
        <v>52630.7974000042</v>
      </c>
      <c r="Q13" t="n">
        <v>187016.372406048</v>
      </c>
      <c r="R13" t="n">
        <v>45587.9401971279</v>
      </c>
      <c r="S13" t="n">
        <v>64879.3440403317</v>
      </c>
      <c r="T13" t="n">
        <v>7158559.05603924</v>
      </c>
      <c r="U13" t="n">
        <v>49030.1212363727</v>
      </c>
      <c r="V13" t="n">
        <v>0</v>
      </c>
      <c r="W13" t="n">
        <v>13828605.4842055</v>
      </c>
      <c r="X13" t="n">
        <v>0</v>
      </c>
      <c r="Y13" t="n">
        <v>4035253.99405192</v>
      </c>
      <c r="Z13" t="n">
        <v>5336806.67148019</v>
      </c>
      <c r="AA13" t="n">
        <v>792109.021639047</v>
      </c>
      <c r="AB13" t="n">
        <v>42756.097415378</v>
      </c>
      <c r="AC13" t="n">
        <v>0</v>
      </c>
      <c r="AD13" t="n">
        <v>0</v>
      </c>
      <c r="AE13" t="n">
        <v>0</v>
      </c>
      <c r="AF13" t="n">
        <v>2601.67692475321</v>
      </c>
      <c r="AG13" t="n">
        <v>0</v>
      </c>
      <c r="AH13" t="n">
        <v>842415.092225802</v>
      </c>
      <c r="AI13" t="n">
        <v>0</v>
      </c>
      <c r="AJ13" t="n">
        <v>46983.4885212396</v>
      </c>
      <c r="AK13" t="n">
        <v>669.18958070183</v>
      </c>
      <c r="AL13" t="n">
        <v>0</v>
      </c>
      <c r="AM13" t="n">
        <v>2712.51333379392</v>
      </c>
      <c r="AN13" t="n">
        <v>6020.93590840629</v>
      </c>
      <c r="AO13" t="n">
        <v>10100.5069738544</v>
      </c>
      <c r="AP13" t="n">
        <v>7172.83647844169</v>
      </c>
      <c r="AQ13" t="n">
        <v>320849.320128173</v>
      </c>
      <c r="AR13" t="n">
        <v>544105.249689081</v>
      </c>
      <c r="AS13" t="n">
        <v>0</v>
      </c>
      <c r="AT13" t="n">
        <v>0</v>
      </c>
      <c r="AU13" t="n">
        <v>0</v>
      </c>
      <c r="AV13" t="n">
        <v>0</v>
      </c>
      <c r="AW13" t="n">
        <v>11727.4272127455</v>
      </c>
      <c r="AX13" t="n">
        <v>0</v>
      </c>
      <c r="AY13" t="n">
        <v>0</v>
      </c>
      <c r="AZ13" t="n">
        <v>0</v>
      </c>
      <c r="BA13" t="n">
        <v>0</v>
      </c>
      <c r="BB13" t="n">
        <v>1383403.339054</v>
      </c>
      <c r="BC13" t="n">
        <v>184359.030146759</v>
      </c>
      <c r="BD13" t="n">
        <v>1946446.27483685</v>
      </c>
      <c r="BE13" t="n">
        <v>150726.83110324</v>
      </c>
      <c r="BF13" t="n">
        <v>558780.084485965</v>
      </c>
      <c r="BG13" t="n">
        <v>0</v>
      </c>
      <c r="BH13" t="n">
        <v>54028.6211360776</v>
      </c>
      <c r="BI13" t="n">
        <v>98106.0901505561</v>
      </c>
      <c r="BJ13" t="n">
        <v>477477.053379372</v>
      </c>
      <c r="BK13" t="n">
        <v>233546.53652584</v>
      </c>
      <c r="BL13" t="n">
        <v>960859.111540213</v>
      </c>
      <c r="BM13" t="n">
        <v>239958.623506765</v>
      </c>
      <c r="BN13" t="n">
        <v>1959478.13199998</v>
      </c>
      <c r="BO13" t="n">
        <v>3331541.59147076</v>
      </c>
      <c r="BP13" t="n">
        <v>0</v>
      </c>
      <c r="BQ13" t="n">
        <v>5104416.22042109</v>
      </c>
      <c r="BR13" t="n">
        <v>0</v>
      </c>
      <c r="BS13" t="n">
        <v>4577812.10676065</v>
      </c>
      <c r="BT13" t="n">
        <v>9733630.22599389</v>
      </c>
      <c r="BU13" t="n">
        <v>759921.176144143</v>
      </c>
      <c r="BV13" t="n">
        <v>0</v>
      </c>
      <c r="BW13" t="n">
        <v>10537.4236648111</v>
      </c>
      <c r="BX13" t="n">
        <v>0</v>
      </c>
      <c r="BY13" t="n">
        <v>0</v>
      </c>
      <c r="BZ13" t="n">
        <v>3324710.08315085</v>
      </c>
      <c r="CA13" t="n">
        <v>3287529.21085039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18919569.4056528</v>
      </c>
      <c r="E14" t="n">
        <v>5004524.19030909</v>
      </c>
      <c r="F14" t="n">
        <v>12552142.3073012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69961.954606002</v>
      </c>
      <c r="BC14" t="n">
        <v>33242.9893456848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447483261.98428</v>
      </c>
      <c r="BW14" t="n">
        <v>9190153.76401396</v>
      </c>
      <c r="BX14" t="n">
        <v>0</v>
      </c>
      <c r="BY14" t="n">
        <v>0</v>
      </c>
      <c r="BZ14" t="n">
        <v>-22977.5143296535</v>
      </c>
      <c r="CA14" t="n">
        <v>71606.9617709453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22812271.6340576</v>
      </c>
      <c r="C15" t="n">
        <v>161919.134698448</v>
      </c>
      <c r="D15" t="n">
        <v>1964098.61137559</v>
      </c>
      <c r="E15" t="n">
        <v>5785110.17281187</v>
      </c>
      <c r="F15" t="n">
        <v>811625.175593466</v>
      </c>
      <c r="G15" t="n">
        <v>79719875.5360204</v>
      </c>
      <c r="H15" t="n">
        <v>12448220.0476901</v>
      </c>
      <c r="I15" t="n">
        <v>10535528.2041879</v>
      </c>
      <c r="J15" t="n">
        <v>6203788.47071768</v>
      </c>
      <c r="K15" t="n">
        <v>37320426.6131544</v>
      </c>
      <c r="L15" t="n">
        <v>13662473.3794409</v>
      </c>
      <c r="M15" t="n">
        <v>5848875.71188434</v>
      </c>
      <c r="N15" t="n">
        <v>345488.888220956</v>
      </c>
      <c r="O15" t="n">
        <v>1893290.94813604</v>
      </c>
      <c r="P15" t="n">
        <v>2474572.12131729</v>
      </c>
      <c r="Q15" t="n">
        <v>4720139.26892536</v>
      </c>
      <c r="R15" t="n">
        <v>1212785.10854349</v>
      </c>
      <c r="S15" t="n">
        <v>573662.22823537</v>
      </c>
      <c r="T15" t="n">
        <v>37588896.5383175</v>
      </c>
      <c r="U15" t="n">
        <v>699144.595433324</v>
      </c>
      <c r="V15" t="n">
        <v>42061.6908978447</v>
      </c>
      <c r="W15" t="n">
        <v>35263558.924255</v>
      </c>
      <c r="X15" t="n">
        <v>2704431.10124455</v>
      </c>
      <c r="Y15" t="n">
        <v>5074108.4489008</v>
      </c>
      <c r="Z15" t="n">
        <v>11589877.6098501</v>
      </c>
      <c r="AA15" t="n">
        <v>19199935.8592007</v>
      </c>
      <c r="AB15" t="n">
        <v>30711272.3132202</v>
      </c>
      <c r="AC15" t="n">
        <v>10013175.6116182</v>
      </c>
      <c r="AD15" t="n">
        <v>16598317.4287713</v>
      </c>
      <c r="AE15" t="n">
        <v>28599707.321837</v>
      </c>
      <c r="AF15" t="n">
        <v>24831061.6809707</v>
      </c>
      <c r="AG15" t="n">
        <v>345461.553425729</v>
      </c>
      <c r="AH15" t="n">
        <v>296421.408549909</v>
      </c>
      <c r="AI15" t="n">
        <v>23199.8453182346</v>
      </c>
      <c r="AJ15" t="n">
        <v>19899317.0719236</v>
      </c>
      <c r="AK15" t="n">
        <v>175933.064848107</v>
      </c>
      <c r="AL15" t="n">
        <v>974352.082552671</v>
      </c>
      <c r="AM15" t="n">
        <v>2279082.98760264</v>
      </c>
      <c r="AN15" t="n">
        <v>4340824.27049553</v>
      </c>
      <c r="AO15" t="n">
        <v>287930.936427976</v>
      </c>
      <c r="AP15" t="n">
        <v>114701.607813039</v>
      </c>
      <c r="AQ15" t="n">
        <v>4274114.29020105</v>
      </c>
      <c r="AR15" t="n">
        <v>1702515.01220675</v>
      </c>
      <c r="AS15" t="n">
        <v>4194216.10807724</v>
      </c>
      <c r="AT15" t="n">
        <v>550296.977122855</v>
      </c>
      <c r="AU15" t="n">
        <v>730674.393092402</v>
      </c>
      <c r="AV15" t="n">
        <v>1384399.23631573</v>
      </c>
      <c r="AW15" t="n">
        <v>266998.361349248</v>
      </c>
      <c r="AX15" t="n">
        <v>27768657.4227191</v>
      </c>
      <c r="AY15" t="n">
        <v>1500177.40322028</v>
      </c>
      <c r="AZ15" t="n">
        <v>479922.02349164</v>
      </c>
      <c r="BA15" t="n">
        <v>701994.01927687</v>
      </c>
      <c r="BB15" t="n">
        <v>4524079.31934278</v>
      </c>
      <c r="BC15" t="n">
        <v>18811243.5904853</v>
      </c>
      <c r="BD15" t="n">
        <v>4549029.4405818</v>
      </c>
      <c r="BE15" t="n">
        <v>2735331.8171267</v>
      </c>
      <c r="BF15" t="n">
        <v>4690945.08643035</v>
      </c>
      <c r="BG15" t="n">
        <v>8079771.28460655</v>
      </c>
      <c r="BH15" t="n">
        <v>14176716.4285509</v>
      </c>
      <c r="BI15" t="n">
        <v>7506049.63629364</v>
      </c>
      <c r="BJ15" t="n">
        <v>2770254.45532772</v>
      </c>
      <c r="BK15" t="n">
        <v>602777.559633453</v>
      </c>
      <c r="BL15" t="n">
        <v>3077231.28147778</v>
      </c>
      <c r="BM15" t="n">
        <v>6375632.428045</v>
      </c>
      <c r="BN15" t="n">
        <v>33811561.8540162</v>
      </c>
      <c r="BO15" t="n">
        <v>13008983.9857411</v>
      </c>
      <c r="BP15" t="n">
        <v>2747893.98927331</v>
      </c>
      <c r="BQ15" t="n">
        <v>1992528.89728923</v>
      </c>
      <c r="BR15" t="n">
        <v>3650453.96393067</v>
      </c>
      <c r="BS15" t="n">
        <v>46822064.207872</v>
      </c>
      <c r="BT15" t="n">
        <v>4502231.17902552</v>
      </c>
      <c r="BU15" t="n">
        <v>446898503.137697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39958652.4650181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15079164.9655913</v>
      </c>
      <c r="C16" t="n">
        <v>244357.340678264</v>
      </c>
      <c r="D16" t="n">
        <v>167193.305413649</v>
      </c>
      <c r="E16" t="n">
        <v>19096840.6536776</v>
      </c>
      <c r="F16" t="n">
        <v>11579702.7021146</v>
      </c>
      <c r="G16" t="n">
        <v>61371561.177125</v>
      </c>
      <c r="H16" t="n">
        <v>1553315.7250207</v>
      </c>
      <c r="I16" t="n">
        <v>7711614.70756917</v>
      </c>
      <c r="J16" t="n">
        <v>5589394.27629021</v>
      </c>
      <c r="K16" t="n">
        <v>31345568.0436589</v>
      </c>
      <c r="L16" t="n">
        <v>15882578.9303522</v>
      </c>
      <c r="M16" t="n">
        <v>8554046.0959533</v>
      </c>
      <c r="N16" t="n">
        <v>482627.84752963</v>
      </c>
      <c r="O16" t="n">
        <v>1635770.40882517</v>
      </c>
      <c r="P16" t="n">
        <v>2592364.99645737</v>
      </c>
      <c r="Q16" t="n">
        <v>2811193.57550377</v>
      </c>
      <c r="R16" t="n">
        <v>1065017.77255611</v>
      </c>
      <c r="S16" t="n">
        <v>808741.603270112</v>
      </c>
      <c r="T16" t="n">
        <v>33851913.7643885</v>
      </c>
      <c r="U16" t="n">
        <v>358478.238761335</v>
      </c>
      <c r="V16" t="n">
        <v>36116.0203991704</v>
      </c>
      <c r="W16" t="n">
        <v>26963315.5823598</v>
      </c>
      <c r="X16" t="n">
        <v>2830169.58955886</v>
      </c>
      <c r="Y16" t="n">
        <v>28120447.8393171</v>
      </c>
      <c r="Z16" t="n">
        <v>7052904.29152764</v>
      </c>
      <c r="AA16" t="n">
        <v>12642800.2026957</v>
      </c>
      <c r="AB16" t="n">
        <v>31044221.8181484</v>
      </c>
      <c r="AC16" t="n">
        <v>12317816.4718361</v>
      </c>
      <c r="AD16" t="n">
        <v>7056265.2695061</v>
      </c>
      <c r="AE16" t="n">
        <v>28673431.6295871</v>
      </c>
      <c r="AF16" t="n">
        <v>22118044.4260091</v>
      </c>
      <c r="AG16" t="n">
        <v>315473.218745397</v>
      </c>
      <c r="AH16" t="n">
        <v>40596016.1087776</v>
      </c>
      <c r="AI16" t="n">
        <v>25568.6577743411</v>
      </c>
      <c r="AJ16" t="n">
        <v>9389396.68705768</v>
      </c>
      <c r="AK16" t="n">
        <v>858105.123674912</v>
      </c>
      <c r="AL16" t="n">
        <v>2468745.02043229</v>
      </c>
      <c r="AM16" t="n">
        <v>7701010.32545673</v>
      </c>
      <c r="AN16" t="n">
        <v>6129133.16069238</v>
      </c>
      <c r="AO16" t="n">
        <v>188464.620013034</v>
      </c>
      <c r="AP16" t="n">
        <v>73622.4518606323</v>
      </c>
      <c r="AQ16" t="n">
        <v>6593003.95359362</v>
      </c>
      <c r="AR16" t="n">
        <v>1746124.11140102</v>
      </c>
      <c r="AS16" t="n">
        <v>30276890.2118529</v>
      </c>
      <c r="AT16" t="n">
        <v>2980545.46106153</v>
      </c>
      <c r="AU16" t="n">
        <v>3687412.19866423</v>
      </c>
      <c r="AV16" t="n">
        <v>256866.096866097</v>
      </c>
      <c r="AW16" t="n">
        <v>462976785.501032</v>
      </c>
      <c r="AX16" t="n">
        <v>132108424.250021</v>
      </c>
      <c r="AY16" t="n">
        <v>3996981.09779013</v>
      </c>
      <c r="AZ16" t="n">
        <v>557227.348082484</v>
      </c>
      <c r="BA16" t="n">
        <v>262201.898067184</v>
      </c>
      <c r="BB16" t="n">
        <v>7244707.23889733</v>
      </c>
      <c r="BC16" t="n">
        <v>11792575.3608395</v>
      </c>
      <c r="BD16" t="n">
        <v>5275250.38854806</v>
      </c>
      <c r="BE16" t="n">
        <v>1083593.87302812</v>
      </c>
      <c r="BF16" t="n">
        <v>6662439.18321438</v>
      </c>
      <c r="BG16" t="n">
        <v>5699078.56159112</v>
      </c>
      <c r="BH16" t="n">
        <v>8656769.88487005</v>
      </c>
      <c r="BI16" t="n">
        <v>5281158.57964289</v>
      </c>
      <c r="BJ16" t="n">
        <v>5110651.85427218</v>
      </c>
      <c r="BK16" t="n">
        <v>538372.630934673</v>
      </c>
      <c r="BL16" t="n">
        <v>2175801.96052046</v>
      </c>
      <c r="BM16" t="n">
        <v>12248297.5043749</v>
      </c>
      <c r="BN16" t="n">
        <v>16214754.3157439</v>
      </c>
      <c r="BO16" t="n">
        <v>26539625.9186714</v>
      </c>
      <c r="BP16" t="n">
        <v>26860116.4732969</v>
      </c>
      <c r="BQ16" t="n">
        <v>2971406.33124383</v>
      </c>
      <c r="BR16" t="n">
        <v>3585451.72552781</v>
      </c>
      <c r="BS16" t="n">
        <v>280882408.530239</v>
      </c>
      <c r="BT16" t="n">
        <v>278595599.604741</v>
      </c>
      <c r="BU16" t="n">
        <v>0</v>
      </c>
      <c r="BV16" t="n">
        <v>2939562997.04815</v>
      </c>
      <c r="BW16" t="n">
        <v>0</v>
      </c>
      <c r="BX16" t="n">
        <v>0</v>
      </c>
      <c r="BY16" t="n">
        <v>4132961516.48348</v>
      </c>
      <c r="BZ16" t="n">
        <v>0</v>
      </c>
      <c r="CA16" t="n">
        <v>580231.230580179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64296356.9102839</v>
      </c>
      <c r="CI16" t="n">
        <v>0</v>
      </c>
      <c r="CJ16" t="n">
        <v>0</v>
      </c>
      <c r="CK16" t="n">
        <v>0</v>
      </c>
      <c r="CL16" t="n">
        <v>2178559999.63539</v>
      </c>
      <c r="CM16" t="n">
        <v>0</v>
      </c>
      <c r="CN16" t="n">
        <v>0</v>
      </c>
    </row>
    <row r="17">
      <c r="A17" t="s">
        <v>128</v>
      </c>
      <c r="B17" t="n">
        <v>3725549.90249409</v>
      </c>
      <c r="C17" t="n">
        <v>486156.741607546</v>
      </c>
      <c r="D17" t="n">
        <v>0</v>
      </c>
      <c r="E17" t="n">
        <v>571879.24681246</v>
      </c>
      <c r="F17" t="n">
        <v>761271.552658091</v>
      </c>
      <c r="G17" t="n">
        <v>35165.2217807007</v>
      </c>
      <c r="H17" t="n">
        <v>124308906.853406</v>
      </c>
      <c r="I17" t="n">
        <v>316932297.081585</v>
      </c>
      <c r="J17" t="n">
        <v>767203.323725398</v>
      </c>
      <c r="K17" t="n">
        <v>8796300.55570895</v>
      </c>
      <c r="L17" t="n">
        <v>1113484.99696572</v>
      </c>
      <c r="M17" t="n">
        <v>3376696.06916522</v>
      </c>
      <c r="N17" t="n">
        <v>169653.447492418</v>
      </c>
      <c r="O17" t="n">
        <v>4176188.96327735</v>
      </c>
      <c r="P17" t="n">
        <v>5141062.29381138</v>
      </c>
      <c r="Q17" t="n">
        <v>667942.252603308</v>
      </c>
      <c r="R17" t="n">
        <v>22250928.4447571</v>
      </c>
      <c r="S17" t="n">
        <v>1318632.50126858</v>
      </c>
      <c r="T17" t="n">
        <v>3574534.69663346</v>
      </c>
      <c r="U17" t="n">
        <v>54861.8397610399</v>
      </c>
      <c r="V17" t="n">
        <v>0</v>
      </c>
      <c r="W17" t="n">
        <v>55011114.1482523</v>
      </c>
      <c r="X17" t="n">
        <v>0</v>
      </c>
      <c r="Y17" t="n">
        <v>0</v>
      </c>
      <c r="Z17" t="n">
        <v>501840.385665238</v>
      </c>
      <c r="AA17" t="n">
        <v>16167766.7114659</v>
      </c>
      <c r="AB17" t="n">
        <v>32776793.806576</v>
      </c>
      <c r="AC17" t="n">
        <v>803205.41567152</v>
      </c>
      <c r="AD17" t="n">
        <v>2660295.0318787</v>
      </c>
      <c r="AE17" t="n">
        <v>1373136.25443694</v>
      </c>
      <c r="AF17" t="n">
        <v>3567097.77203859</v>
      </c>
      <c r="AG17" t="n">
        <v>0</v>
      </c>
      <c r="AH17" t="n">
        <v>24055931.0638324</v>
      </c>
      <c r="AI17" t="n">
        <v>0</v>
      </c>
      <c r="AJ17" t="n">
        <v>2056140.62650864</v>
      </c>
      <c r="AK17" t="n">
        <v>0</v>
      </c>
      <c r="AL17" t="n">
        <v>11399.2390976292</v>
      </c>
      <c r="AM17" t="n">
        <v>218530.358570031</v>
      </c>
      <c r="AN17" t="n">
        <v>476086.657820781</v>
      </c>
      <c r="AO17" t="n">
        <v>35456.8687378311</v>
      </c>
      <c r="AP17" t="n">
        <v>46818.2443962526</v>
      </c>
      <c r="AQ17" t="n">
        <v>1252643.40582866</v>
      </c>
      <c r="AR17" t="n">
        <v>1140444.61319866</v>
      </c>
      <c r="AS17" t="n">
        <v>552055.342795554</v>
      </c>
      <c r="AT17" t="n">
        <v>4464.43853608284</v>
      </c>
      <c r="AU17" t="n">
        <v>0</v>
      </c>
      <c r="AV17" t="n">
        <v>0</v>
      </c>
      <c r="AW17" t="n">
        <v>74359.7315121418</v>
      </c>
      <c r="AX17" t="n">
        <v>14407924.5618609</v>
      </c>
      <c r="AY17" t="n">
        <v>1022495.0309862</v>
      </c>
      <c r="AZ17" t="n">
        <v>17055.717293525</v>
      </c>
      <c r="BA17" t="n">
        <v>51521.882374287</v>
      </c>
      <c r="BB17" t="n">
        <v>1526988.80402481</v>
      </c>
      <c r="BC17" t="n">
        <v>45841.5508007669</v>
      </c>
      <c r="BD17" t="n">
        <v>3422765.30637687</v>
      </c>
      <c r="BE17" t="n">
        <v>122213.41575276</v>
      </c>
      <c r="BF17" t="n">
        <v>63621.1415126557</v>
      </c>
      <c r="BG17" t="n">
        <v>1567718.48831257</v>
      </c>
      <c r="BH17" t="n">
        <v>1876340.00751222</v>
      </c>
      <c r="BI17" t="n">
        <v>20909.5200749843</v>
      </c>
      <c r="BJ17" t="n">
        <v>2955174.92670738</v>
      </c>
      <c r="BK17" t="n">
        <v>8603.28965069052</v>
      </c>
      <c r="BL17" t="n">
        <v>284822.259436342</v>
      </c>
      <c r="BM17" t="n">
        <v>1719482.75867279</v>
      </c>
      <c r="BN17" t="n">
        <v>2785240.71968928</v>
      </c>
      <c r="BO17" t="n">
        <v>1297020.54442578</v>
      </c>
      <c r="BP17" t="n">
        <v>28492.2845632527</v>
      </c>
      <c r="BQ17" t="n">
        <v>146238.908957164</v>
      </c>
      <c r="BR17" t="n">
        <v>6698.00078696279</v>
      </c>
      <c r="BS17" t="n">
        <v>9327380.28201709</v>
      </c>
      <c r="BT17" t="n">
        <v>923536.651885594</v>
      </c>
      <c r="BU17" t="n">
        <v>8528251.51702244</v>
      </c>
      <c r="BV17" t="n">
        <v>3432962.52424546</v>
      </c>
      <c r="BW17" t="n">
        <v>0</v>
      </c>
      <c r="BX17" t="n">
        <v>0</v>
      </c>
      <c r="BY17" t="n">
        <v>35809318.8698333</v>
      </c>
      <c r="BZ17" t="n">
        <v>9549438.0075842</v>
      </c>
      <c r="CA17" t="n">
        <v>5560484.51883689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1155856.32247722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109014.868686321</v>
      </c>
      <c r="C18" t="n">
        <v>417878.030176216</v>
      </c>
      <c r="D18" t="n">
        <v>607364.97950691</v>
      </c>
      <c r="E18" t="n">
        <v>1455222.27318722</v>
      </c>
      <c r="F18" t="n">
        <v>2438965.4274243</v>
      </c>
      <c r="G18" t="n">
        <v>351912.60087706</v>
      </c>
      <c r="H18" t="n">
        <v>206174098.676375</v>
      </c>
      <c r="I18" t="n">
        <v>10575111.324348</v>
      </c>
      <c r="J18" t="n">
        <v>42952886.2901423</v>
      </c>
      <c r="K18" t="n">
        <v>25727679.4765276</v>
      </c>
      <c r="L18" t="n">
        <v>5336427.5898061</v>
      </c>
      <c r="M18" t="n">
        <v>5260120.65709783</v>
      </c>
      <c r="N18" t="n">
        <v>108498.108487646</v>
      </c>
      <c r="O18" t="n">
        <v>7810968.98399267</v>
      </c>
      <c r="P18" t="n">
        <v>10350250.5565557</v>
      </c>
      <c r="Q18" t="n">
        <v>575214.908740076</v>
      </c>
      <c r="R18" t="n">
        <v>890986.430817236</v>
      </c>
      <c r="S18" t="n">
        <v>725733.350389865</v>
      </c>
      <c r="T18" t="n">
        <v>26394532.8192482</v>
      </c>
      <c r="U18" t="n">
        <v>33890.4089822441</v>
      </c>
      <c r="V18" t="n">
        <v>0</v>
      </c>
      <c r="W18" t="n">
        <v>6398819.94488778</v>
      </c>
      <c r="X18" t="n">
        <v>5132.79242306461</v>
      </c>
      <c r="Y18" t="n">
        <v>2191458.32531129</v>
      </c>
      <c r="Z18" t="n">
        <v>2326644.68492064</v>
      </c>
      <c r="AA18" t="n">
        <v>12198434.0708344</v>
      </c>
      <c r="AB18" t="n">
        <v>317313.439850204</v>
      </c>
      <c r="AC18" t="n">
        <v>527510.172614871</v>
      </c>
      <c r="AD18" t="n">
        <v>60292.2561796295</v>
      </c>
      <c r="AE18" t="n">
        <v>2419107.82515195</v>
      </c>
      <c r="AF18" t="n">
        <v>1339086.58089316</v>
      </c>
      <c r="AG18" t="n">
        <v>0</v>
      </c>
      <c r="AH18" t="n">
        <v>125813.540031408</v>
      </c>
      <c r="AI18" t="n">
        <v>0</v>
      </c>
      <c r="AJ18" t="n">
        <v>758906.848272572</v>
      </c>
      <c r="AK18" t="n">
        <v>0</v>
      </c>
      <c r="AL18" t="n">
        <v>0</v>
      </c>
      <c r="AM18" t="n">
        <v>35525.0439785758</v>
      </c>
      <c r="AN18" t="n">
        <v>94625.4576256709</v>
      </c>
      <c r="AO18" t="n">
        <v>1556.27732441396</v>
      </c>
      <c r="AP18" t="n">
        <v>587.12921373775</v>
      </c>
      <c r="AQ18" t="n">
        <v>2183147.34494597</v>
      </c>
      <c r="AR18" t="n">
        <v>626348.473346778</v>
      </c>
      <c r="AS18" t="n">
        <v>26117.1186072296</v>
      </c>
      <c r="AT18" t="n">
        <v>7838.14781989751</v>
      </c>
      <c r="AU18" t="n">
        <v>77333.9296623059</v>
      </c>
      <c r="AV18" t="n">
        <v>0</v>
      </c>
      <c r="AW18" t="n">
        <v>353259.072788749</v>
      </c>
      <c r="AX18" t="n">
        <v>128368.759359063</v>
      </c>
      <c r="AY18" t="n">
        <v>1273211.3345167</v>
      </c>
      <c r="AZ18" t="n">
        <v>0</v>
      </c>
      <c r="BA18" t="n">
        <v>341095.241413834</v>
      </c>
      <c r="BB18" t="n">
        <v>6798651.01801695</v>
      </c>
      <c r="BC18" t="n">
        <v>128773.317787914</v>
      </c>
      <c r="BD18" t="n">
        <v>2191812.28250585</v>
      </c>
      <c r="BE18" t="n">
        <v>695201.169425466</v>
      </c>
      <c r="BF18" t="n">
        <v>65478.5392074149</v>
      </c>
      <c r="BG18" t="n">
        <v>7700639.61566638</v>
      </c>
      <c r="BH18" t="n">
        <v>4324210.29737604</v>
      </c>
      <c r="BI18" t="n">
        <v>399227.024416431</v>
      </c>
      <c r="BJ18" t="n">
        <v>1739223.02366862</v>
      </c>
      <c r="BK18" t="n">
        <v>12587.2222368105</v>
      </c>
      <c r="BL18" t="n">
        <v>200436.539881794</v>
      </c>
      <c r="BM18" t="n">
        <v>207130.677613536</v>
      </c>
      <c r="BN18" t="n">
        <v>5402477.94748599</v>
      </c>
      <c r="BO18" t="n">
        <v>5808349.21738825</v>
      </c>
      <c r="BP18" t="n">
        <v>84414.6173262603</v>
      </c>
      <c r="BQ18" t="n">
        <v>625826.809888003</v>
      </c>
      <c r="BR18" t="n">
        <v>0</v>
      </c>
      <c r="BS18" t="n">
        <v>4295867.74747619</v>
      </c>
      <c r="BT18" t="n">
        <v>8411916.07812985</v>
      </c>
      <c r="BU18" t="n">
        <v>27271319.1299188</v>
      </c>
      <c r="BV18" t="n">
        <v>0</v>
      </c>
      <c r="BW18" t="n">
        <v>0</v>
      </c>
      <c r="BX18" t="n">
        <v>0</v>
      </c>
      <c r="BY18" t="n">
        <v>0</v>
      </c>
      <c r="BZ18" t="n">
        <v>6507185.4730982</v>
      </c>
      <c r="CA18" t="n">
        <v>18389655.231119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142252.346044609</v>
      </c>
      <c r="C19" t="n">
        <v>0</v>
      </c>
      <c r="D19" t="n">
        <v>1779788.94589703</v>
      </c>
      <c r="E19" t="n">
        <v>862029.021854704</v>
      </c>
      <c r="F19" t="n">
        <v>620239.400149541</v>
      </c>
      <c r="G19" t="n">
        <v>17493.6007941538</v>
      </c>
      <c r="H19" t="n">
        <v>6921315.02027496</v>
      </c>
      <c r="I19" t="n">
        <v>2089828.49366055</v>
      </c>
      <c r="J19" t="n">
        <v>3207289.89638528</v>
      </c>
      <c r="K19" t="n">
        <v>435945101.25304</v>
      </c>
      <c r="L19" t="n">
        <v>277158517.749212</v>
      </c>
      <c r="M19" t="n">
        <v>116284220.927107</v>
      </c>
      <c r="N19" t="n">
        <v>1156837.52696556</v>
      </c>
      <c r="O19" t="n">
        <v>40478179.0450408</v>
      </c>
      <c r="P19" t="n">
        <v>43963767.0902383</v>
      </c>
      <c r="Q19" t="n">
        <v>14337480.0767369</v>
      </c>
      <c r="R19" t="n">
        <v>7938134.34491614</v>
      </c>
      <c r="S19" t="n">
        <v>3598606.65954423</v>
      </c>
      <c r="T19" t="n">
        <v>12164268.2857707</v>
      </c>
      <c r="U19" t="n">
        <v>94764.0755843146</v>
      </c>
      <c r="V19" t="n">
        <v>0</v>
      </c>
      <c r="W19" t="n">
        <v>8195324.46998766</v>
      </c>
      <c r="X19" t="n">
        <v>29087.2689350724</v>
      </c>
      <c r="Y19" t="n">
        <v>7591.00298104246</v>
      </c>
      <c r="Z19" t="n">
        <v>44580.3457256307</v>
      </c>
      <c r="AA19" t="n">
        <v>8729677.27558823</v>
      </c>
      <c r="AB19" t="n">
        <v>1385009.76538571</v>
      </c>
      <c r="AC19" t="n">
        <v>14798.8754397269</v>
      </c>
      <c r="AD19" t="n">
        <v>0</v>
      </c>
      <c r="AE19" t="n">
        <v>0</v>
      </c>
      <c r="AF19" t="n">
        <v>417562.480568661</v>
      </c>
      <c r="AG19" t="n">
        <v>0</v>
      </c>
      <c r="AH19" t="n">
        <v>4257306.21101409</v>
      </c>
      <c r="AI19" t="n">
        <v>0</v>
      </c>
      <c r="AJ19" t="n">
        <v>0</v>
      </c>
      <c r="AK19" t="n">
        <v>0</v>
      </c>
      <c r="AL19" t="n">
        <v>0</v>
      </c>
      <c r="AM19" t="n">
        <v>397604.20553854</v>
      </c>
      <c r="AN19" t="n">
        <v>0</v>
      </c>
      <c r="AO19" t="n">
        <v>3307.25363566495</v>
      </c>
      <c r="AP19" t="n">
        <v>1663.61542918493</v>
      </c>
      <c r="AQ19" t="n">
        <v>412848.952738693</v>
      </c>
      <c r="AR19" t="n">
        <v>261119.854428787</v>
      </c>
      <c r="AS19" t="n">
        <v>0</v>
      </c>
      <c r="AT19" t="n">
        <v>0</v>
      </c>
      <c r="AU19" t="n">
        <v>0</v>
      </c>
      <c r="AV19" t="n">
        <v>0</v>
      </c>
      <c r="AW19" t="n">
        <v>2719.97401786651</v>
      </c>
      <c r="AX19" t="n">
        <v>1770655.68968259</v>
      </c>
      <c r="AY19" t="n">
        <v>93300.2937687417</v>
      </c>
      <c r="AZ19" t="n">
        <v>0</v>
      </c>
      <c r="BA19" t="n">
        <v>0</v>
      </c>
      <c r="BB19" t="n">
        <v>1238741.88607899</v>
      </c>
      <c r="BC19" t="n">
        <v>148230.819194456</v>
      </c>
      <c r="BD19" t="n">
        <v>851359.480330332</v>
      </c>
      <c r="BE19" t="n">
        <v>632292.56138625</v>
      </c>
      <c r="BF19" t="n">
        <v>140513.013454819</v>
      </c>
      <c r="BG19" t="n">
        <v>325989.487329767</v>
      </c>
      <c r="BH19" t="n">
        <v>58478.022008726</v>
      </c>
      <c r="BI19" t="n">
        <v>29255.1579212989</v>
      </c>
      <c r="BJ19" t="n">
        <v>650612.473655675</v>
      </c>
      <c r="BK19" t="n">
        <v>11591.3097253146</v>
      </c>
      <c r="BL19" t="n">
        <v>326414.380605167</v>
      </c>
      <c r="BM19" t="n">
        <v>32043.3587778391</v>
      </c>
      <c r="BN19" t="n">
        <v>285427.495704774</v>
      </c>
      <c r="BO19" t="n">
        <v>1381824.11019543</v>
      </c>
      <c r="BP19" t="n">
        <v>183819.356924844</v>
      </c>
      <c r="BQ19" t="n">
        <v>816156.153537942</v>
      </c>
      <c r="BR19" t="n">
        <v>0</v>
      </c>
      <c r="BS19" t="n">
        <v>236127.960242327</v>
      </c>
      <c r="BT19" t="n">
        <v>1152537.29160407</v>
      </c>
      <c r="BU19" t="n">
        <v>1236704.7101256</v>
      </c>
      <c r="BV19" t="n">
        <v>0</v>
      </c>
      <c r="BW19" t="n">
        <v>0</v>
      </c>
      <c r="BX19" t="n">
        <v>0</v>
      </c>
      <c r="BY19" t="n">
        <v>0</v>
      </c>
      <c r="BZ19" t="n">
        <v>35875343.1195388</v>
      </c>
      <c r="CA19" t="n">
        <v>97197250.691519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3370686.92828822</v>
      </c>
      <c r="C20" t="n">
        <v>284533.152066979</v>
      </c>
      <c r="D20" t="n">
        <v>2130750.9318551</v>
      </c>
      <c r="E20" t="n">
        <v>1724966.35101386</v>
      </c>
      <c r="F20" t="n">
        <v>1489966.5430841</v>
      </c>
      <c r="G20" t="n">
        <v>1506541.16981786</v>
      </c>
      <c r="H20" t="n">
        <v>139107024.944931</v>
      </c>
      <c r="I20" t="n">
        <v>21208755.7032235</v>
      </c>
      <c r="J20" t="n">
        <v>3963799.14613402</v>
      </c>
      <c r="K20" t="n">
        <v>42564288.7063314</v>
      </c>
      <c r="L20" t="n">
        <v>138213596.220857</v>
      </c>
      <c r="M20" t="n">
        <v>67296193.0596804</v>
      </c>
      <c r="N20" t="n">
        <v>2016279.58187325</v>
      </c>
      <c r="O20" t="n">
        <v>28245135.1106572</v>
      </c>
      <c r="P20" t="n">
        <v>22432078.6744754</v>
      </c>
      <c r="Q20" t="n">
        <v>23054786.1673413</v>
      </c>
      <c r="R20" t="n">
        <v>9592899.80755658</v>
      </c>
      <c r="S20" t="n">
        <v>3407828.6737782</v>
      </c>
      <c r="T20" t="n">
        <v>82290491.3982935</v>
      </c>
      <c r="U20" t="n">
        <v>472970.829649849</v>
      </c>
      <c r="V20" t="n">
        <v>86110.5841606129</v>
      </c>
      <c r="W20" t="n">
        <v>42631937.3267972</v>
      </c>
      <c r="X20" t="n">
        <v>2267390.70638619</v>
      </c>
      <c r="Y20" t="n">
        <v>2085211.8637759</v>
      </c>
      <c r="Z20" t="n">
        <v>8929072.64056755</v>
      </c>
      <c r="AA20" t="n">
        <v>36541714.6470992</v>
      </c>
      <c r="AB20" t="n">
        <v>5920054.3786674</v>
      </c>
      <c r="AC20" t="n">
        <v>808857.325889394</v>
      </c>
      <c r="AD20" t="n">
        <v>287126.618882227</v>
      </c>
      <c r="AE20" t="n">
        <v>598585.165299046</v>
      </c>
      <c r="AF20" t="n">
        <v>1337722.43827887</v>
      </c>
      <c r="AG20" t="n">
        <v>124330.965437757</v>
      </c>
      <c r="AH20" t="n">
        <v>1708974.86989724</v>
      </c>
      <c r="AI20" t="n">
        <v>237116.757224265</v>
      </c>
      <c r="AJ20" t="n">
        <v>8738312.31467829</v>
      </c>
      <c r="AK20" t="n">
        <v>122206.668918809</v>
      </c>
      <c r="AL20" t="n">
        <v>1558303.84577877</v>
      </c>
      <c r="AM20" t="n">
        <v>578592.302239428</v>
      </c>
      <c r="AN20" t="n">
        <v>1678596.02751765</v>
      </c>
      <c r="AO20" t="n">
        <v>301939.502678995</v>
      </c>
      <c r="AP20" t="n">
        <v>14092.1139929752</v>
      </c>
      <c r="AQ20" t="n">
        <v>6548072.68477833</v>
      </c>
      <c r="AR20" t="n">
        <v>1069709.92175622</v>
      </c>
      <c r="AS20" t="n">
        <v>608614.063107425</v>
      </c>
      <c r="AT20" t="n">
        <v>108622.141234899</v>
      </c>
      <c r="AU20" t="n">
        <v>0</v>
      </c>
      <c r="AV20" t="n">
        <v>872.007361881855</v>
      </c>
      <c r="AW20" t="n">
        <v>37303.3285944118</v>
      </c>
      <c r="AX20" t="n">
        <v>275095.68526973</v>
      </c>
      <c r="AY20" t="n">
        <v>2001601.41890899</v>
      </c>
      <c r="AZ20" t="n">
        <v>13309.6087110866</v>
      </c>
      <c r="BA20" t="n">
        <v>2500647.45351682</v>
      </c>
      <c r="BB20" t="n">
        <v>4822482.59318513</v>
      </c>
      <c r="BC20" t="n">
        <v>2129511.84810664</v>
      </c>
      <c r="BD20" t="n">
        <v>2902744.62640047</v>
      </c>
      <c r="BE20" t="n">
        <v>7288488.14383815</v>
      </c>
      <c r="BF20" t="n">
        <v>418212.325997627</v>
      </c>
      <c r="BG20" t="n">
        <v>776443.571610178</v>
      </c>
      <c r="BH20" t="n">
        <v>3401207.77961594</v>
      </c>
      <c r="BI20" t="n">
        <v>57692.1238465842</v>
      </c>
      <c r="BJ20" t="n">
        <v>3780220.29531865</v>
      </c>
      <c r="BK20" t="n">
        <v>25176.2540036141</v>
      </c>
      <c r="BL20" t="n">
        <v>367247.390724445</v>
      </c>
      <c r="BM20" t="n">
        <v>1253077.61163024</v>
      </c>
      <c r="BN20" t="n">
        <v>5182101.59386123</v>
      </c>
      <c r="BO20" t="n">
        <v>7305179.64794245</v>
      </c>
      <c r="BP20" t="n">
        <v>3486708.29235226</v>
      </c>
      <c r="BQ20" t="n">
        <v>2265059.82624307</v>
      </c>
      <c r="BR20" t="n">
        <v>314171.349805432</v>
      </c>
      <c r="BS20" t="n">
        <v>6871199.43841367</v>
      </c>
      <c r="BT20" t="n">
        <v>7848970.10210691</v>
      </c>
      <c r="BU20" t="n">
        <v>26340502.5991331</v>
      </c>
      <c r="BV20" t="n">
        <v>0</v>
      </c>
      <c r="BW20" t="n">
        <v>37764185.4668001</v>
      </c>
      <c r="BX20" t="n">
        <v>0</v>
      </c>
      <c r="BY20" t="n">
        <v>0</v>
      </c>
      <c r="BZ20" t="n">
        <v>35969370.4309838</v>
      </c>
      <c r="CA20" t="n">
        <v>161887589.320148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697735.904616398</v>
      </c>
      <c r="CJ20" t="n">
        <v>0</v>
      </c>
      <c r="CK20" t="n">
        <v>0</v>
      </c>
      <c r="CL20" t="n">
        <v>0</v>
      </c>
      <c r="CM20" t="n">
        <v>112891.813789924</v>
      </c>
      <c r="CN20" t="n">
        <v>0</v>
      </c>
    </row>
    <row r="21">
      <c r="A21" t="s">
        <v>132</v>
      </c>
      <c r="B21" t="n">
        <v>535303.620908572</v>
      </c>
      <c r="C21" t="n">
        <v>48794.4925180003</v>
      </c>
      <c r="D21" t="n">
        <v>2385540.49371093</v>
      </c>
      <c r="E21" t="n">
        <v>3908168.52252738</v>
      </c>
      <c r="F21" t="n">
        <v>5561549.37162117</v>
      </c>
      <c r="G21" t="n">
        <v>677655.679352515</v>
      </c>
      <c r="H21" t="n">
        <v>56027073.0852382</v>
      </c>
      <c r="I21" t="n">
        <v>2698480.36484111</v>
      </c>
      <c r="J21" t="n">
        <v>143124.259149375</v>
      </c>
      <c r="K21" t="n">
        <v>6496781.65367743</v>
      </c>
      <c r="L21" t="n">
        <v>13972778.2595219</v>
      </c>
      <c r="M21" t="n">
        <v>66745871.5411401</v>
      </c>
      <c r="N21" t="n">
        <v>49152.2586444943</v>
      </c>
      <c r="O21" t="n">
        <v>3489182.02678793</v>
      </c>
      <c r="P21" t="n">
        <v>19276478.0220225</v>
      </c>
      <c r="Q21" t="n">
        <v>5369132.88767463</v>
      </c>
      <c r="R21" t="n">
        <v>189038.276085638</v>
      </c>
      <c r="S21" t="n">
        <v>273296.788662337</v>
      </c>
      <c r="T21" t="n">
        <v>10349589.1518153</v>
      </c>
      <c r="U21" t="n">
        <v>19578.1805469538</v>
      </c>
      <c r="V21" t="n">
        <v>2403.94236060973</v>
      </c>
      <c r="W21" t="n">
        <v>3546986.89580191</v>
      </c>
      <c r="X21" t="n">
        <v>2419020.65074354</v>
      </c>
      <c r="Y21" t="n">
        <v>40432.6057344984</v>
      </c>
      <c r="Z21" t="n">
        <v>2025211.23544232</v>
      </c>
      <c r="AA21" t="n">
        <v>6865132.71213168</v>
      </c>
      <c r="AB21" t="n">
        <v>4155118.21801199</v>
      </c>
      <c r="AC21" t="n">
        <v>533856.913614167</v>
      </c>
      <c r="AD21" t="n">
        <v>270224.977939446</v>
      </c>
      <c r="AE21" t="n">
        <v>644421.198722139</v>
      </c>
      <c r="AF21" t="n">
        <v>916286.551184985</v>
      </c>
      <c r="AG21" t="n">
        <v>2713.64221651959</v>
      </c>
      <c r="AH21" t="n">
        <v>318679.703944419</v>
      </c>
      <c r="AI21" t="n">
        <v>3669.70542135331</v>
      </c>
      <c r="AJ21" t="n">
        <v>1765873.58939433</v>
      </c>
      <c r="AK21" t="n">
        <v>12625.8418551741</v>
      </c>
      <c r="AL21" t="n">
        <v>51485.255199676</v>
      </c>
      <c r="AM21" t="n">
        <v>104792.986487472</v>
      </c>
      <c r="AN21" t="n">
        <v>3261919.18130281</v>
      </c>
      <c r="AO21" t="n">
        <v>22953.7996809271</v>
      </c>
      <c r="AP21" t="n">
        <v>15305.4613263393</v>
      </c>
      <c r="AQ21" t="n">
        <v>867006.09978964</v>
      </c>
      <c r="AR21" t="n">
        <v>577602.651533153</v>
      </c>
      <c r="AS21" t="n">
        <v>13935.0948645679</v>
      </c>
      <c r="AT21" t="n">
        <v>32262.1894861452</v>
      </c>
      <c r="AU21" t="n">
        <v>225012.336970156</v>
      </c>
      <c r="AV21" t="n">
        <v>0</v>
      </c>
      <c r="AW21" t="n">
        <v>107998.691015767</v>
      </c>
      <c r="AX21" t="n">
        <v>155331.560778747</v>
      </c>
      <c r="AY21" t="n">
        <v>1032391.20203464</v>
      </c>
      <c r="AZ21" t="n">
        <v>22824.6022634913</v>
      </c>
      <c r="BA21" t="n">
        <v>1070425.78040265</v>
      </c>
      <c r="BB21" t="n">
        <v>1438845.9920849</v>
      </c>
      <c r="BC21" t="n">
        <v>436176.367678584</v>
      </c>
      <c r="BD21" t="n">
        <v>2104606.91790202</v>
      </c>
      <c r="BE21" t="n">
        <v>5496281.08732528</v>
      </c>
      <c r="BF21" t="n">
        <v>1865451.22940834</v>
      </c>
      <c r="BG21" t="n">
        <v>847877.837860304</v>
      </c>
      <c r="BH21" t="n">
        <v>2079206.56220816</v>
      </c>
      <c r="BI21" t="n">
        <v>497378.380361016</v>
      </c>
      <c r="BJ21" t="n">
        <v>583154.543782258</v>
      </c>
      <c r="BK21" t="n">
        <v>14679.3883156818</v>
      </c>
      <c r="BL21" t="n">
        <v>182862.229557193</v>
      </c>
      <c r="BM21" t="n">
        <v>65330.2473192299</v>
      </c>
      <c r="BN21" t="n">
        <v>1374036.98512398</v>
      </c>
      <c r="BO21" t="n">
        <v>8474387.93649665</v>
      </c>
      <c r="BP21" t="n">
        <v>1402687.01888171</v>
      </c>
      <c r="BQ21" t="n">
        <v>147510.689494557</v>
      </c>
      <c r="BR21" t="n">
        <v>94789.1873242554</v>
      </c>
      <c r="BS21" t="n">
        <v>5436650.17067581</v>
      </c>
      <c r="BT21" t="n">
        <v>1513139.20683421</v>
      </c>
      <c r="BU21" t="n">
        <v>12255762.0945684</v>
      </c>
      <c r="BV21" t="n">
        <v>0</v>
      </c>
      <c r="BW21" t="n">
        <v>585663321.608939</v>
      </c>
      <c r="BX21" t="n">
        <v>0</v>
      </c>
      <c r="BY21" t="n">
        <v>0</v>
      </c>
      <c r="BZ21" t="n">
        <v>22198948.0771377</v>
      </c>
      <c r="CA21" t="n">
        <v>380781585.131317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38383.9454276915</v>
      </c>
      <c r="CJ21" t="n">
        <v>0</v>
      </c>
      <c r="CK21" t="n">
        <v>0</v>
      </c>
      <c r="CL21" t="n">
        <v>0</v>
      </c>
      <c r="CM21" t="n">
        <v>16108796.720305</v>
      </c>
      <c r="CN21" t="n">
        <v>0</v>
      </c>
    </row>
    <row r="22">
      <c r="A22" t="s">
        <v>133</v>
      </c>
      <c r="B22" t="n">
        <v>69343.4862380012</v>
      </c>
      <c r="C22" t="n">
        <v>0</v>
      </c>
      <c r="D22" t="n">
        <v>9149.43391918343</v>
      </c>
      <c r="E22" t="n">
        <v>11200.1590637423</v>
      </c>
      <c r="F22" t="n">
        <v>8597.37716263607</v>
      </c>
      <c r="G22" t="n">
        <v>192758.681450433</v>
      </c>
      <c r="H22" t="n">
        <v>5001040.87964998</v>
      </c>
      <c r="I22" t="n">
        <v>4047831.65005953</v>
      </c>
      <c r="J22" t="n">
        <v>608254.728065651</v>
      </c>
      <c r="K22" t="n">
        <v>7123052.72258454</v>
      </c>
      <c r="L22" t="n">
        <v>9195951.89881991</v>
      </c>
      <c r="M22" t="n">
        <v>9859924.32139316</v>
      </c>
      <c r="N22" t="n">
        <v>4871171.08772678</v>
      </c>
      <c r="O22" t="n">
        <v>7140533.67700444</v>
      </c>
      <c r="P22" t="n">
        <v>4684135.04745814</v>
      </c>
      <c r="Q22" t="n">
        <v>13176845.249131</v>
      </c>
      <c r="R22" t="n">
        <v>1149444.59932861</v>
      </c>
      <c r="S22" t="n">
        <v>978533.865907398</v>
      </c>
      <c r="T22" t="n">
        <v>7105859.14518064</v>
      </c>
      <c r="U22" t="n">
        <v>178746.925495431</v>
      </c>
      <c r="V22" t="n">
        <v>22940.3775010566</v>
      </c>
      <c r="W22" t="n">
        <v>6653128.38055296</v>
      </c>
      <c r="X22" t="n">
        <v>1553425.63749786</v>
      </c>
      <c r="Y22" t="n">
        <v>171784.634777292</v>
      </c>
      <c r="Z22" t="n">
        <v>2756223.46707781</v>
      </c>
      <c r="AA22" t="n">
        <v>6246380.98055187</v>
      </c>
      <c r="AB22" t="n">
        <v>30461225.4288924</v>
      </c>
      <c r="AC22" t="n">
        <v>741687.344822173</v>
      </c>
      <c r="AD22" t="n">
        <v>78940.0103472744</v>
      </c>
      <c r="AE22" t="n">
        <v>121401.074447787</v>
      </c>
      <c r="AF22" t="n">
        <v>464994.368999713</v>
      </c>
      <c r="AG22" t="n">
        <v>853.707229714357</v>
      </c>
      <c r="AH22" t="n">
        <v>160827.482989299</v>
      </c>
      <c r="AI22" t="n">
        <v>117.121472818147</v>
      </c>
      <c r="AJ22" t="n">
        <v>87794.6332037423</v>
      </c>
      <c r="AK22" t="n">
        <v>0</v>
      </c>
      <c r="AL22" t="n">
        <v>0</v>
      </c>
      <c r="AM22" t="n">
        <v>7155.7788600225</v>
      </c>
      <c r="AN22" t="n">
        <v>21839.9546140338</v>
      </c>
      <c r="AO22" t="n">
        <v>362852.630548227</v>
      </c>
      <c r="AP22" t="n">
        <v>106734.098725274</v>
      </c>
      <c r="AQ22" t="n">
        <v>3533237.8948636</v>
      </c>
      <c r="AR22" t="n">
        <v>898665.88533413</v>
      </c>
      <c r="AS22" t="n">
        <v>144670.586375434</v>
      </c>
      <c r="AT22" t="n">
        <v>31576.6266215908</v>
      </c>
      <c r="AU22" t="n">
        <v>20143.0687703744</v>
      </c>
      <c r="AV22" t="n">
        <v>61472.2722445232</v>
      </c>
      <c r="AW22" t="n">
        <v>1933.60514319669</v>
      </c>
      <c r="AX22" t="n">
        <v>13467.2958794528</v>
      </c>
      <c r="AY22" t="n">
        <v>55271.9519586036</v>
      </c>
      <c r="AZ22" t="n">
        <v>123984.700044119</v>
      </c>
      <c r="BA22" t="n">
        <v>2670443.99382659</v>
      </c>
      <c r="BB22" t="n">
        <v>2903896.95201153</v>
      </c>
      <c r="BC22" t="n">
        <v>6508992.01499841</v>
      </c>
      <c r="BD22" t="n">
        <v>1750370.99997625</v>
      </c>
      <c r="BE22" t="n">
        <v>654787.534845496</v>
      </c>
      <c r="BF22" t="n">
        <v>713773.096446771</v>
      </c>
      <c r="BG22" t="n">
        <v>12622268.9437219</v>
      </c>
      <c r="BH22" t="n">
        <v>720572.693662982</v>
      </c>
      <c r="BI22" t="n">
        <v>138648.196514822</v>
      </c>
      <c r="BJ22" t="n">
        <v>154991.586106557</v>
      </c>
      <c r="BK22" t="n">
        <v>633.858320083244</v>
      </c>
      <c r="BL22" t="n">
        <v>6243.36475379667</v>
      </c>
      <c r="BM22" t="n">
        <v>93515.1707647682</v>
      </c>
      <c r="BN22" t="n">
        <v>57129.3940063368</v>
      </c>
      <c r="BO22" t="n">
        <v>2014771.43461059</v>
      </c>
      <c r="BP22" t="n">
        <v>7676793.9506115</v>
      </c>
      <c r="BQ22" t="n">
        <v>3127251.55571457</v>
      </c>
      <c r="BR22" t="n">
        <v>0</v>
      </c>
      <c r="BS22" t="n">
        <v>1588771.26680708</v>
      </c>
      <c r="BT22" t="n">
        <v>1248701.57242409</v>
      </c>
      <c r="BU22" t="n">
        <v>17964954.6286858</v>
      </c>
      <c r="BV22" t="n">
        <v>0</v>
      </c>
      <c r="BW22" t="n">
        <v>28254472.3619103</v>
      </c>
      <c r="BX22" t="n">
        <v>0</v>
      </c>
      <c r="BY22" t="n">
        <v>7010.25804969528</v>
      </c>
      <c r="BZ22" t="n">
        <v>1076592.90759594</v>
      </c>
      <c r="CA22" t="n">
        <v>64840394.2002295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282452.999597912</v>
      </c>
      <c r="CJ22" t="n">
        <v>0</v>
      </c>
      <c r="CK22" t="n">
        <v>0</v>
      </c>
      <c r="CL22" t="n">
        <v>0</v>
      </c>
      <c r="CM22" t="n">
        <v>2233585.95796185</v>
      </c>
      <c r="CN22" t="n">
        <v>0</v>
      </c>
    </row>
    <row r="23">
      <c r="A23" t="s">
        <v>134</v>
      </c>
      <c r="B23" t="n">
        <v>335612.331084699</v>
      </c>
      <c r="C23" t="n">
        <v>52590.8218825039</v>
      </c>
      <c r="D23" t="n">
        <v>6397.06737721799</v>
      </c>
      <c r="E23" t="n">
        <v>2088.23621364072</v>
      </c>
      <c r="F23" t="n">
        <v>48088.6590034166</v>
      </c>
      <c r="G23" t="n">
        <v>28403.6249721145</v>
      </c>
      <c r="H23" t="n">
        <v>36921725.0838009</v>
      </c>
      <c r="I23" t="n">
        <v>974159.678155441</v>
      </c>
      <c r="J23" t="n">
        <v>16839.2624601365</v>
      </c>
      <c r="K23" t="n">
        <v>9194093.9124075</v>
      </c>
      <c r="L23" t="n">
        <v>4878893.50909651</v>
      </c>
      <c r="M23" t="n">
        <v>19435540.2091416</v>
      </c>
      <c r="N23" t="n">
        <v>279513.69890521</v>
      </c>
      <c r="O23" t="n">
        <v>15947032.2061907</v>
      </c>
      <c r="P23" t="n">
        <v>3465611.65344973</v>
      </c>
      <c r="Q23" t="n">
        <v>1417066.84061629</v>
      </c>
      <c r="R23" t="n">
        <v>3018.45793367642</v>
      </c>
      <c r="S23" t="n">
        <v>295704.305383181</v>
      </c>
      <c r="T23" t="n">
        <v>106887.511941904</v>
      </c>
      <c r="U23" t="n">
        <v>0</v>
      </c>
      <c r="V23" t="n">
        <v>0</v>
      </c>
      <c r="W23" t="n">
        <v>18774.4679820414</v>
      </c>
      <c r="X23" t="n">
        <v>0</v>
      </c>
      <c r="Y23" t="n">
        <v>18781.2461088472</v>
      </c>
      <c r="Z23" t="n">
        <v>664296.357857963</v>
      </c>
      <c r="AA23" t="n">
        <v>2115962.57159408</v>
      </c>
      <c r="AB23" t="n">
        <v>4811918.5283894</v>
      </c>
      <c r="AC23" t="n">
        <v>583544.734040422</v>
      </c>
      <c r="AD23" t="n">
        <v>163786.360991692</v>
      </c>
      <c r="AE23" t="n">
        <v>2458614.95350194</v>
      </c>
      <c r="AF23" t="n">
        <v>286643.332890011</v>
      </c>
      <c r="AG23" t="n">
        <v>371.399382203216</v>
      </c>
      <c r="AH23" t="n">
        <v>909569.387113687</v>
      </c>
      <c r="AI23" t="n">
        <v>2598.59691683669</v>
      </c>
      <c r="AJ23" t="n">
        <v>363970.579031706</v>
      </c>
      <c r="AK23" t="n">
        <v>62208.744434102</v>
      </c>
      <c r="AL23" t="n">
        <v>822.087887399136</v>
      </c>
      <c r="AM23" t="n">
        <v>179779.89276432</v>
      </c>
      <c r="AN23" t="n">
        <v>165841.223355052</v>
      </c>
      <c r="AO23" t="n">
        <v>1534.24252609287</v>
      </c>
      <c r="AP23" t="n">
        <v>0</v>
      </c>
      <c r="AQ23" t="n">
        <v>1072944.06349025</v>
      </c>
      <c r="AR23" t="n">
        <v>110674.050280248</v>
      </c>
      <c r="AS23" t="n">
        <v>114432.601146991</v>
      </c>
      <c r="AT23" t="n">
        <v>7727.17016590682</v>
      </c>
      <c r="AU23" t="n">
        <v>7010.4813796618</v>
      </c>
      <c r="AV23" t="n">
        <v>0</v>
      </c>
      <c r="AW23" t="n">
        <v>7570.81300885371</v>
      </c>
      <c r="AX23" t="n">
        <v>22263.6423153528</v>
      </c>
      <c r="AY23" t="n">
        <v>341448.621921507</v>
      </c>
      <c r="AZ23" t="n">
        <v>0</v>
      </c>
      <c r="BA23" t="n">
        <v>2001493.61895149</v>
      </c>
      <c r="BB23" t="n">
        <v>2412630.52500542</v>
      </c>
      <c r="BC23" t="n">
        <v>285637.635961858</v>
      </c>
      <c r="BD23" t="n">
        <v>1889512.51403894</v>
      </c>
      <c r="BE23" t="n">
        <v>549978.685193844</v>
      </c>
      <c r="BF23" t="n">
        <v>198717.211801349</v>
      </c>
      <c r="BG23" t="n">
        <v>14402.5970277093</v>
      </c>
      <c r="BH23" t="n">
        <v>1030867.35021538</v>
      </c>
      <c r="BI23" t="n">
        <v>57302.0352880261</v>
      </c>
      <c r="BJ23" t="n">
        <v>979311.568780924</v>
      </c>
      <c r="BK23" t="n">
        <v>2481.80081250861</v>
      </c>
      <c r="BL23" t="n">
        <v>266180.968965339</v>
      </c>
      <c r="BM23" t="n">
        <v>223757.179181395</v>
      </c>
      <c r="BN23" t="n">
        <v>465364.94614066</v>
      </c>
      <c r="BO23" t="n">
        <v>7135071.56389975</v>
      </c>
      <c r="BP23" t="n">
        <v>1853430.03725951</v>
      </c>
      <c r="BQ23" t="n">
        <v>4197477.6918725</v>
      </c>
      <c r="BR23" t="n">
        <v>0</v>
      </c>
      <c r="BS23" t="n">
        <v>1456423.15482408</v>
      </c>
      <c r="BT23" t="n">
        <v>3623225.98016</v>
      </c>
      <c r="BU23" t="n">
        <v>48549191.8670184</v>
      </c>
      <c r="BV23" t="n">
        <v>0</v>
      </c>
      <c r="BW23" t="n">
        <v>74644046.6050832</v>
      </c>
      <c r="BX23" t="n">
        <v>0</v>
      </c>
      <c r="BY23" t="n">
        <v>10622327.7387289</v>
      </c>
      <c r="BZ23" t="n">
        <v>10520286.5159765</v>
      </c>
      <c r="CA23" t="n">
        <v>149302634.663304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187122.098713599</v>
      </c>
      <c r="CJ23" t="n">
        <v>0</v>
      </c>
      <c r="CK23" t="n">
        <v>0</v>
      </c>
      <c r="CL23" t="n">
        <v>0</v>
      </c>
      <c r="CM23" t="n">
        <v>955374.815392487</v>
      </c>
      <c r="CN23" t="n">
        <v>0</v>
      </c>
    </row>
    <row r="24">
      <c r="A24" t="s">
        <v>135</v>
      </c>
      <c r="B24" t="n">
        <v>1749248.21422708</v>
      </c>
      <c r="C24" t="n">
        <v>124679.958194207</v>
      </c>
      <c r="D24" t="n">
        <v>248383.41225312</v>
      </c>
      <c r="E24" t="n">
        <v>937331.892233259</v>
      </c>
      <c r="F24" t="n">
        <v>480093.755367095</v>
      </c>
      <c r="G24" t="n">
        <v>48098.5987304989</v>
      </c>
      <c r="H24" t="n">
        <v>1875324.80218763</v>
      </c>
      <c r="I24" t="n">
        <v>6180857.35776794</v>
      </c>
      <c r="J24" t="n">
        <v>475259.131409477</v>
      </c>
      <c r="K24" t="n">
        <v>2760586.66317606</v>
      </c>
      <c r="L24" t="n">
        <v>2716724.78310694</v>
      </c>
      <c r="M24" t="n">
        <v>20666168.2042434</v>
      </c>
      <c r="N24" t="n">
        <v>134764.488810156</v>
      </c>
      <c r="O24" t="n">
        <v>1137854.66098733</v>
      </c>
      <c r="P24" t="n">
        <v>122339207.897466</v>
      </c>
      <c r="Q24" t="n">
        <v>2534576.42715372</v>
      </c>
      <c r="R24" t="n">
        <v>498536.372328195</v>
      </c>
      <c r="S24" t="n">
        <v>274195.151306002</v>
      </c>
      <c r="T24" t="n">
        <v>12670205.6018192</v>
      </c>
      <c r="U24" t="n">
        <v>25939.550328594</v>
      </c>
      <c r="V24" t="n">
        <v>1820.01981237738</v>
      </c>
      <c r="W24" t="n">
        <v>4458384.81379197</v>
      </c>
      <c r="X24" t="n">
        <v>167948.238649506</v>
      </c>
      <c r="Y24" t="n">
        <v>123373.389734106</v>
      </c>
      <c r="Z24" t="n">
        <v>658677.885029883</v>
      </c>
      <c r="AA24" t="n">
        <v>1398097.34665681</v>
      </c>
      <c r="AB24" t="n">
        <v>11662358.1914586</v>
      </c>
      <c r="AC24" t="n">
        <v>6868380.8640985</v>
      </c>
      <c r="AD24" t="n">
        <v>2139810.65169285</v>
      </c>
      <c r="AE24" t="n">
        <v>958509.484683334</v>
      </c>
      <c r="AF24" t="n">
        <v>4457850.27698105</v>
      </c>
      <c r="AG24" t="n">
        <v>0</v>
      </c>
      <c r="AH24" t="n">
        <v>201059.789842566</v>
      </c>
      <c r="AI24" t="n">
        <v>0</v>
      </c>
      <c r="AJ24" t="n">
        <v>21092746.8788621</v>
      </c>
      <c r="AK24" t="n">
        <v>183896.930767923</v>
      </c>
      <c r="AL24" t="n">
        <v>649.656345371977</v>
      </c>
      <c r="AM24" t="n">
        <v>123620.538156333</v>
      </c>
      <c r="AN24" t="n">
        <v>2123521.73470498</v>
      </c>
      <c r="AO24" t="n">
        <v>44051.9050897089</v>
      </c>
      <c r="AP24" t="n">
        <v>24395.2279196017</v>
      </c>
      <c r="AQ24" t="n">
        <v>615435.26179606</v>
      </c>
      <c r="AR24" t="n">
        <v>123724.405596841</v>
      </c>
      <c r="AS24" t="n">
        <v>108516.668242507</v>
      </c>
      <c r="AT24" t="n">
        <v>5597.54186838991</v>
      </c>
      <c r="AU24" t="n">
        <v>0</v>
      </c>
      <c r="AV24" t="n">
        <v>0</v>
      </c>
      <c r="AW24" t="n">
        <v>0</v>
      </c>
      <c r="AX24" t="n">
        <v>0</v>
      </c>
      <c r="AY24" t="n">
        <v>1525238.23258882</v>
      </c>
      <c r="AZ24" t="n">
        <v>0</v>
      </c>
      <c r="BA24" t="n">
        <v>52853.2926995679</v>
      </c>
      <c r="BB24" t="n">
        <v>1886563.93718557</v>
      </c>
      <c r="BC24" t="n">
        <v>1354353.75358773</v>
      </c>
      <c r="BD24" t="n">
        <v>12901559.8545645</v>
      </c>
      <c r="BE24" t="n">
        <v>2017089.93155906</v>
      </c>
      <c r="BF24" t="n">
        <v>291067.862663571</v>
      </c>
      <c r="BG24" t="n">
        <v>931021.153614619</v>
      </c>
      <c r="BH24" t="n">
        <v>2484768.32767671</v>
      </c>
      <c r="BI24" t="n">
        <v>176365.486968053</v>
      </c>
      <c r="BJ24" t="n">
        <v>3808615.87354743</v>
      </c>
      <c r="BK24" t="n">
        <v>33341.2040228937</v>
      </c>
      <c r="BL24" t="n">
        <v>74051.7721785153</v>
      </c>
      <c r="BM24" t="n">
        <v>136018.838324175</v>
      </c>
      <c r="BN24" t="n">
        <v>1320668.69593309</v>
      </c>
      <c r="BO24" t="n">
        <v>13675487.6397603</v>
      </c>
      <c r="BP24" t="n">
        <v>3254114.36478069</v>
      </c>
      <c r="BQ24" t="n">
        <v>145017.364523441</v>
      </c>
      <c r="BR24" t="n">
        <v>3580600.38693919</v>
      </c>
      <c r="BS24" t="n">
        <v>10334083.4429901</v>
      </c>
      <c r="BT24" t="n">
        <v>1210932.672323</v>
      </c>
      <c r="BU24" t="n">
        <v>329344909.396904</v>
      </c>
      <c r="BV24" t="n">
        <v>0</v>
      </c>
      <c r="BW24" t="n">
        <v>179391578.58966</v>
      </c>
      <c r="BX24" t="n">
        <v>0</v>
      </c>
      <c r="BY24" t="n">
        <v>0</v>
      </c>
      <c r="BZ24" t="n">
        <v>12976520.4429056</v>
      </c>
      <c r="CA24" t="n">
        <v>150051385.114273</v>
      </c>
      <c r="CB24" t="n">
        <v>0</v>
      </c>
      <c r="CC24" t="n">
        <v>0</v>
      </c>
      <c r="CD24" t="n">
        <v>0</v>
      </c>
      <c r="CE24" t="n">
        <v>4831866.30424847</v>
      </c>
      <c r="CF24" t="n">
        <v>0</v>
      </c>
      <c r="CG24" t="n">
        <v>0</v>
      </c>
      <c r="CH24" t="n">
        <v>0</v>
      </c>
      <c r="CI24" t="n">
        <v>62636.6884727029</v>
      </c>
      <c r="CJ24" t="n">
        <v>0</v>
      </c>
      <c r="CK24" t="n">
        <v>0</v>
      </c>
      <c r="CL24" t="n">
        <v>0</v>
      </c>
      <c r="CM24" t="n">
        <v>18952098.6686933</v>
      </c>
      <c r="CN24" t="n">
        <v>0</v>
      </c>
    </row>
    <row r="25">
      <c r="A25" t="s">
        <v>136</v>
      </c>
      <c r="B25" t="n">
        <v>0</v>
      </c>
      <c r="C25" t="n">
        <v>30361.3904265437</v>
      </c>
      <c r="D25" t="n">
        <v>0</v>
      </c>
      <c r="E25" t="n">
        <v>0</v>
      </c>
      <c r="F25" t="n">
        <v>0</v>
      </c>
      <c r="G25" t="n">
        <v>0</v>
      </c>
      <c r="H25" t="n">
        <v>31482.1750000216</v>
      </c>
      <c r="I25" t="n">
        <v>66919.6585665589</v>
      </c>
      <c r="J25" t="n">
        <v>0</v>
      </c>
      <c r="K25" t="n">
        <v>0</v>
      </c>
      <c r="L25" t="n">
        <v>219894.239001512</v>
      </c>
      <c r="M25" t="n">
        <v>425596.066663442</v>
      </c>
      <c r="N25" t="n">
        <v>0</v>
      </c>
      <c r="O25" t="n">
        <v>0</v>
      </c>
      <c r="P25" t="n">
        <v>492443.26288254</v>
      </c>
      <c r="Q25" t="n">
        <v>60683120.1812431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33441.1122049242</v>
      </c>
      <c r="AD25" t="n">
        <v>0</v>
      </c>
      <c r="AE25" t="n">
        <v>0</v>
      </c>
      <c r="AF25" t="n">
        <v>0</v>
      </c>
      <c r="AG25" t="n">
        <v>348797.763051596</v>
      </c>
      <c r="AH25" t="n">
        <v>4655731.59133225</v>
      </c>
      <c r="AI25" t="n">
        <v>107021.979464764</v>
      </c>
      <c r="AJ25" t="n">
        <v>35020.8536337567</v>
      </c>
      <c r="AK25" t="n">
        <v>39654.982892506</v>
      </c>
      <c r="AL25" t="n">
        <v>0</v>
      </c>
      <c r="AM25" t="n">
        <v>2609729.43068311</v>
      </c>
      <c r="AN25" t="n">
        <v>0</v>
      </c>
      <c r="AO25" t="n">
        <v>0</v>
      </c>
      <c r="AP25" t="n">
        <v>0</v>
      </c>
      <c r="AQ25" t="n">
        <v>2061.69587487644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1065076.98776541</v>
      </c>
      <c r="BC25" t="n">
        <v>168337.925667068</v>
      </c>
      <c r="BD25" t="n">
        <v>93153.5051695216</v>
      </c>
      <c r="BE25" t="n">
        <v>166692.807216356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18522.7065384635</v>
      </c>
      <c r="BM25" t="n">
        <v>0</v>
      </c>
      <c r="BN25" t="n">
        <v>0</v>
      </c>
      <c r="BO25" t="n">
        <v>105358.385277868</v>
      </c>
      <c r="BP25" t="n">
        <v>26511443.869188</v>
      </c>
      <c r="BQ25" t="n">
        <v>567152.541367895</v>
      </c>
      <c r="BR25" t="n">
        <v>1254.90772563084</v>
      </c>
      <c r="BS25" t="n">
        <v>0</v>
      </c>
      <c r="BT25" t="n">
        <v>83531.5946325259</v>
      </c>
      <c r="BU25" t="n">
        <v>33854451.7372433</v>
      </c>
      <c r="BV25" t="n">
        <v>0</v>
      </c>
      <c r="BW25" t="n">
        <v>36391003.3080615</v>
      </c>
      <c r="BX25" t="n">
        <v>0</v>
      </c>
      <c r="BY25" t="n">
        <v>0</v>
      </c>
      <c r="BZ25" t="n">
        <v>165827539.320364</v>
      </c>
      <c r="CA25" t="n">
        <v>1677881582.51961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16374.5202968163</v>
      </c>
      <c r="CJ25" t="n">
        <v>0</v>
      </c>
      <c r="CK25" t="n">
        <v>0</v>
      </c>
      <c r="CL25" t="n">
        <v>0</v>
      </c>
      <c r="CM25" t="n">
        <v>176602.310626441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57378051.6988829</v>
      </c>
      <c r="I26" t="n">
        <v>3574449.84179593</v>
      </c>
      <c r="J26" t="n">
        <v>0</v>
      </c>
      <c r="K26" t="n">
        <v>0</v>
      </c>
      <c r="L26" t="n">
        <v>0</v>
      </c>
      <c r="M26" t="n">
        <v>1402794.48338769</v>
      </c>
      <c r="N26" t="n">
        <v>28044.0580368495</v>
      </c>
      <c r="O26" t="n">
        <v>0</v>
      </c>
      <c r="P26" t="n">
        <v>42052.6127872774</v>
      </c>
      <c r="Q26" t="n">
        <v>590509.094329937</v>
      </c>
      <c r="R26" t="n">
        <v>6809491.23363446</v>
      </c>
      <c r="S26" t="n">
        <v>127705.563582129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2959174.4504097</v>
      </c>
      <c r="AB26" t="n">
        <v>491734.593489652</v>
      </c>
      <c r="AC26" t="n">
        <v>253173.650976425</v>
      </c>
      <c r="AD26" t="n">
        <v>0</v>
      </c>
      <c r="AE26" t="n">
        <v>105122.260435918</v>
      </c>
      <c r="AF26" t="n">
        <v>667852.043806817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819.989330629375</v>
      </c>
      <c r="AP26" t="n">
        <v>0</v>
      </c>
      <c r="AQ26" t="n">
        <v>161175.182789645</v>
      </c>
      <c r="AR26" t="n">
        <v>376544.787212437</v>
      </c>
      <c r="AS26" t="n">
        <v>0</v>
      </c>
      <c r="AT26" t="n">
        <v>0</v>
      </c>
      <c r="AU26" t="n">
        <v>0</v>
      </c>
      <c r="AV26" t="n">
        <v>0</v>
      </c>
      <c r="AW26" t="n">
        <v>4414499.33265773</v>
      </c>
      <c r="AX26" t="n">
        <v>148424.346807421</v>
      </c>
      <c r="AY26" t="n">
        <v>0</v>
      </c>
      <c r="AZ26" t="n">
        <v>17530.5399423992</v>
      </c>
      <c r="BA26" t="n">
        <v>5957.57540707207</v>
      </c>
      <c r="BB26" t="n">
        <v>110788.1936108</v>
      </c>
      <c r="BC26" t="n">
        <v>8481.19620129382</v>
      </c>
      <c r="BD26" t="n">
        <v>9998.67803471505</v>
      </c>
      <c r="BE26" t="n">
        <v>0</v>
      </c>
      <c r="BF26" t="n">
        <v>0</v>
      </c>
      <c r="BG26" t="n">
        <v>230927.816728261</v>
      </c>
      <c r="BH26" t="n">
        <v>434965.316294746</v>
      </c>
      <c r="BI26" t="n">
        <v>4835.61690030856</v>
      </c>
      <c r="BJ26" t="n">
        <v>885492.592370599</v>
      </c>
      <c r="BK26" t="n">
        <v>22549.1423883138</v>
      </c>
      <c r="BL26" t="n">
        <v>130649.460478294</v>
      </c>
      <c r="BM26" t="n">
        <v>5017.71946277671</v>
      </c>
      <c r="BN26" t="n">
        <v>1067702.5891333</v>
      </c>
      <c r="BO26" t="n">
        <v>792885.434011418</v>
      </c>
      <c r="BP26" t="n">
        <v>0</v>
      </c>
      <c r="BQ26" t="n">
        <v>0</v>
      </c>
      <c r="BR26" t="n">
        <v>285017.049005055</v>
      </c>
      <c r="BS26" t="n">
        <v>49474.4547042668</v>
      </c>
      <c r="BT26" t="n">
        <v>1464132.36133648</v>
      </c>
      <c r="BU26" t="n">
        <v>117455853.610631</v>
      </c>
      <c r="BV26" t="n">
        <v>0</v>
      </c>
      <c r="BW26" t="n">
        <v>96755012.2020012</v>
      </c>
      <c r="BX26" t="n">
        <v>0</v>
      </c>
      <c r="BY26" t="n">
        <v>2141784.50797071</v>
      </c>
      <c r="BZ26" t="n">
        <v>3623272.0922199</v>
      </c>
      <c r="CA26" t="n">
        <v>14665519.9080265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69826.5222393928</v>
      </c>
      <c r="CJ26" t="n">
        <v>0</v>
      </c>
      <c r="CK26" t="n">
        <v>0</v>
      </c>
      <c r="CL26" t="n">
        <v>0</v>
      </c>
      <c r="CM26" t="n">
        <v>5153217.30616199</v>
      </c>
      <c r="CN26" t="n">
        <v>0</v>
      </c>
    </row>
    <row r="27">
      <c r="A27" t="s">
        <v>138</v>
      </c>
      <c r="B27" t="n">
        <v>347450.764461182</v>
      </c>
      <c r="C27" t="n">
        <v>0</v>
      </c>
      <c r="D27" t="n">
        <v>7605.44432253602</v>
      </c>
      <c r="E27" t="n">
        <v>33102.5938785819</v>
      </c>
      <c r="F27" t="n">
        <v>23821.8283622174</v>
      </c>
      <c r="G27" t="n">
        <v>0</v>
      </c>
      <c r="H27" t="n">
        <v>2085934.0824303</v>
      </c>
      <c r="I27" t="n">
        <v>167044.328747728</v>
      </c>
      <c r="J27" t="n">
        <v>133467.483896593</v>
      </c>
      <c r="K27" t="n">
        <v>281838.295545291</v>
      </c>
      <c r="L27" t="n">
        <v>184920.859610592</v>
      </c>
      <c r="M27" t="n">
        <v>3947995.04461582</v>
      </c>
      <c r="N27" t="n">
        <v>333.245653738468</v>
      </c>
      <c r="O27" t="n">
        <v>974921.41427964</v>
      </c>
      <c r="P27" t="n">
        <v>1444520.60428458</v>
      </c>
      <c r="Q27" t="n">
        <v>41079.5374606739</v>
      </c>
      <c r="R27" t="n">
        <v>23924.2060992399</v>
      </c>
      <c r="S27" t="n">
        <v>4084317.47693999</v>
      </c>
      <c r="T27" t="n">
        <v>417364.272557638</v>
      </c>
      <c r="U27" t="n">
        <v>5807.26174736671</v>
      </c>
      <c r="V27" t="n">
        <v>152879.024674784</v>
      </c>
      <c r="W27" t="n">
        <v>0</v>
      </c>
      <c r="X27" t="n">
        <v>6684.39160015824</v>
      </c>
      <c r="Y27" t="n">
        <v>2325.9310537321</v>
      </c>
      <c r="Z27" t="n">
        <v>289337.245792116</v>
      </c>
      <c r="AA27" t="n">
        <v>745380.231648975</v>
      </c>
      <c r="AB27" t="n">
        <v>1871709.54244999</v>
      </c>
      <c r="AC27" t="n">
        <v>377494.503114463</v>
      </c>
      <c r="AD27" t="n">
        <v>157036.17740344</v>
      </c>
      <c r="AE27" t="n">
        <v>37891.2092339556</v>
      </c>
      <c r="AF27" t="n">
        <v>1084933.58828917</v>
      </c>
      <c r="AG27" t="n">
        <v>0</v>
      </c>
      <c r="AH27" t="n">
        <v>6301.76520553991</v>
      </c>
      <c r="AI27" t="n">
        <v>0</v>
      </c>
      <c r="AJ27" t="n">
        <v>26711.2942428374</v>
      </c>
      <c r="AK27" t="n">
        <v>9701.50299823557</v>
      </c>
      <c r="AL27" t="n">
        <v>814.480459972433</v>
      </c>
      <c r="AM27" t="n">
        <v>217440.614029772</v>
      </c>
      <c r="AN27" t="n">
        <v>189979.464338138</v>
      </c>
      <c r="AO27" t="n">
        <v>1013.36331351369</v>
      </c>
      <c r="AP27" t="n">
        <v>382.306672570726</v>
      </c>
      <c r="AQ27" t="n">
        <v>85963.7591890648</v>
      </c>
      <c r="AR27" t="n">
        <v>44127.3971820368</v>
      </c>
      <c r="AS27" t="n">
        <v>79361.5662420702</v>
      </c>
      <c r="AT27" t="n">
        <v>8931.60866219766</v>
      </c>
      <c r="AU27" t="n">
        <v>10418.4118016865</v>
      </c>
      <c r="AV27" t="n">
        <v>0</v>
      </c>
      <c r="AW27" t="n">
        <v>0</v>
      </c>
      <c r="AX27" t="n">
        <v>121897.369696664</v>
      </c>
      <c r="AY27" t="n">
        <v>63528.4372949275</v>
      </c>
      <c r="AZ27" t="n">
        <v>10832.3397513468</v>
      </c>
      <c r="BA27" t="n">
        <v>23314.6486303068</v>
      </c>
      <c r="BB27" t="n">
        <v>1126124.38818668</v>
      </c>
      <c r="BC27" t="n">
        <v>36684.4599975119</v>
      </c>
      <c r="BD27" t="n">
        <v>2432193.96912917</v>
      </c>
      <c r="BE27" t="n">
        <v>782405.146950903</v>
      </c>
      <c r="BF27" t="n">
        <v>204402.337165871</v>
      </c>
      <c r="BG27" t="n">
        <v>37645315.9114923</v>
      </c>
      <c r="BH27" t="n">
        <v>35933336.7574508</v>
      </c>
      <c r="BI27" t="n">
        <v>842612.651230214</v>
      </c>
      <c r="BJ27" t="n">
        <v>2500379.97428244</v>
      </c>
      <c r="BK27" t="n">
        <v>40160.9676278555</v>
      </c>
      <c r="BL27" t="n">
        <v>182987.851912373</v>
      </c>
      <c r="BM27" t="n">
        <v>43407.162042281</v>
      </c>
      <c r="BN27" t="n">
        <v>323505.175606457</v>
      </c>
      <c r="BO27" t="n">
        <v>3092545.22520506</v>
      </c>
      <c r="BP27" t="n">
        <v>933407.787328524</v>
      </c>
      <c r="BQ27" t="n">
        <v>351080.753945334</v>
      </c>
      <c r="BR27" t="n">
        <v>0</v>
      </c>
      <c r="BS27" t="n">
        <v>7612150.10652303</v>
      </c>
      <c r="BT27" t="n">
        <v>81915.0018248762</v>
      </c>
      <c r="BU27" t="n">
        <v>81738608.2238592</v>
      </c>
      <c r="BV27" t="n">
        <v>0</v>
      </c>
      <c r="BW27" t="n">
        <v>38718922.6156354</v>
      </c>
      <c r="BX27" t="n">
        <v>0</v>
      </c>
      <c r="BY27" t="n">
        <v>0</v>
      </c>
      <c r="BZ27" t="n">
        <v>3610152.85898663</v>
      </c>
      <c r="CA27" t="n">
        <v>11866487.9459497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33879.7184023775</v>
      </c>
      <c r="CJ27" t="n">
        <v>0</v>
      </c>
      <c r="CK27" t="n">
        <v>0</v>
      </c>
      <c r="CL27" t="n">
        <v>0</v>
      </c>
      <c r="CM27" t="n">
        <v>2327502.78407754</v>
      </c>
      <c r="CN27" t="n">
        <v>0</v>
      </c>
    </row>
    <row r="28">
      <c r="A28" t="s">
        <v>139</v>
      </c>
      <c r="B28" t="n">
        <v>136065287.166654</v>
      </c>
      <c r="C28" t="n">
        <v>865318.855563751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252198.697593923</v>
      </c>
      <c r="J28" t="n">
        <v>942397.333273931</v>
      </c>
      <c r="K28" t="n">
        <v>76592.0357085123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6162.27624783768</v>
      </c>
      <c r="T28" t="n">
        <v>1289756718.24121</v>
      </c>
      <c r="U28" t="n">
        <v>17359.9190304734</v>
      </c>
      <c r="V28" t="n">
        <v>517777.512861665</v>
      </c>
      <c r="W28" t="n">
        <v>3285693.32110858</v>
      </c>
      <c r="X28" t="n">
        <v>1158045.65859571</v>
      </c>
      <c r="Y28" t="n">
        <v>592586.4576163</v>
      </c>
      <c r="Z28" t="n">
        <v>5625584.21909823</v>
      </c>
      <c r="AA28" t="n">
        <v>1107769.87291083</v>
      </c>
      <c r="AB28" t="n">
        <v>9182187.11236162</v>
      </c>
      <c r="AC28" t="n">
        <v>4621.05637183049</v>
      </c>
      <c r="AD28" t="n">
        <v>7752799.83834734</v>
      </c>
      <c r="AE28" t="n">
        <v>5729694.89044414</v>
      </c>
      <c r="AF28" t="n">
        <v>5224520.90745279</v>
      </c>
      <c r="AG28" t="n">
        <v>180994.668031448</v>
      </c>
      <c r="AH28" t="n">
        <v>17125.6012145379</v>
      </c>
      <c r="AI28" t="n">
        <v>76139.1028271727</v>
      </c>
      <c r="AJ28" t="n">
        <v>163328.155836552</v>
      </c>
      <c r="AK28" t="n">
        <v>0</v>
      </c>
      <c r="AL28" t="n">
        <v>0</v>
      </c>
      <c r="AM28" t="n">
        <v>18858.9572394285</v>
      </c>
      <c r="AN28" t="n">
        <v>0</v>
      </c>
      <c r="AO28" t="n">
        <v>15834.9476223226</v>
      </c>
      <c r="AP28" t="n">
        <v>6753.18805392156</v>
      </c>
      <c r="AQ28" t="n">
        <v>0</v>
      </c>
      <c r="AR28" t="n">
        <v>108109.771835543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7461715.49915894</v>
      </c>
      <c r="BC28" t="n">
        <v>505587.179215385</v>
      </c>
      <c r="BD28" t="n">
        <v>0</v>
      </c>
      <c r="BE28" t="n">
        <v>0</v>
      </c>
      <c r="BF28" t="n">
        <v>8247023.41733731</v>
      </c>
      <c r="BG28" t="n">
        <v>19389.0639571819</v>
      </c>
      <c r="BH28" t="n">
        <v>20350543.8933847</v>
      </c>
      <c r="BI28" t="n">
        <v>18180949.8810876</v>
      </c>
      <c r="BJ28" t="n">
        <v>69717935.9530551</v>
      </c>
      <c r="BK28" t="n">
        <v>1135956.95003108</v>
      </c>
      <c r="BL28" t="n">
        <v>8923716.64186682</v>
      </c>
      <c r="BM28" t="n">
        <v>13045419.6589566</v>
      </c>
      <c r="BN28" t="n">
        <v>214461600.969757</v>
      </c>
      <c r="BO28" t="n">
        <v>4191564.8561258</v>
      </c>
      <c r="BP28" t="n">
        <v>4472967.1941659</v>
      </c>
      <c r="BQ28" t="n">
        <v>127780.289460493</v>
      </c>
      <c r="BR28" t="n">
        <v>1771375.84154797</v>
      </c>
      <c r="BS28" t="n">
        <v>205014211.199739</v>
      </c>
      <c r="BT28" t="n">
        <v>0</v>
      </c>
      <c r="BU28" t="n">
        <v>2154750799.62857</v>
      </c>
      <c r="BV28" t="n">
        <v>0</v>
      </c>
      <c r="BW28" t="n">
        <v>0</v>
      </c>
      <c r="BX28" t="n">
        <v>0</v>
      </c>
      <c r="BY28" t="n">
        <v>0</v>
      </c>
      <c r="BZ28" t="n">
        <v>118432842.821925</v>
      </c>
      <c r="CA28" t="n">
        <v>688604164.116766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38980.9630945371</v>
      </c>
      <c r="C29" t="n">
        <v>17618.0934437937</v>
      </c>
      <c r="D29" t="n">
        <v>0</v>
      </c>
      <c r="E29" t="n">
        <v>0</v>
      </c>
      <c r="F29" t="n">
        <v>0</v>
      </c>
      <c r="G29" t="n">
        <v>0</v>
      </c>
      <c r="H29" t="n">
        <v>1298082.0056046</v>
      </c>
      <c r="I29" t="n">
        <v>1399973.14722541</v>
      </c>
      <c r="J29" t="n">
        <v>204119.583122379</v>
      </c>
      <c r="K29" t="n">
        <v>0</v>
      </c>
      <c r="L29" t="n">
        <v>1869.59891889659</v>
      </c>
      <c r="M29" t="n">
        <v>875723.429282652</v>
      </c>
      <c r="N29" t="n">
        <v>289.751364519309</v>
      </c>
      <c r="O29" t="n">
        <v>0</v>
      </c>
      <c r="P29" t="n">
        <v>1128641.38823738</v>
      </c>
      <c r="Q29" t="n">
        <v>777390.704887824</v>
      </c>
      <c r="R29" t="n">
        <v>1604330.01246779</v>
      </c>
      <c r="S29" t="n">
        <v>682961.832496038</v>
      </c>
      <c r="T29" t="n">
        <v>308728.212542403</v>
      </c>
      <c r="U29" t="n">
        <v>2924057.86001526</v>
      </c>
      <c r="V29" t="n">
        <v>742995.04692647</v>
      </c>
      <c r="W29" t="n">
        <v>11660745.5866657</v>
      </c>
      <c r="X29" t="n">
        <v>231025.550444925</v>
      </c>
      <c r="Y29" t="n">
        <v>7583.83893048783</v>
      </c>
      <c r="Z29" t="n">
        <v>3779.00496320944</v>
      </c>
      <c r="AA29" t="n">
        <v>2744278.50128291</v>
      </c>
      <c r="AB29" t="n">
        <v>1820279.0056157</v>
      </c>
      <c r="AC29" t="n">
        <v>68010.5810326542</v>
      </c>
      <c r="AD29" t="n">
        <v>59167.4440185684</v>
      </c>
      <c r="AE29" t="n">
        <v>160022.237346275</v>
      </c>
      <c r="AF29" t="n">
        <v>1248129.28180742</v>
      </c>
      <c r="AG29" t="n">
        <v>0</v>
      </c>
      <c r="AH29" t="n">
        <v>0</v>
      </c>
      <c r="AI29" t="n">
        <v>3884.50271790639</v>
      </c>
      <c r="AJ29" t="n">
        <v>58062.5273586687</v>
      </c>
      <c r="AK29" t="n">
        <v>0</v>
      </c>
      <c r="AL29" t="n">
        <v>354.088375953041</v>
      </c>
      <c r="AM29" t="n">
        <v>49276.5044441003</v>
      </c>
      <c r="AN29" t="n">
        <v>2232.21455181171</v>
      </c>
      <c r="AO29" t="n">
        <v>220.275493131289</v>
      </c>
      <c r="AP29" t="n">
        <v>31911.2713541868</v>
      </c>
      <c r="AQ29" t="n">
        <v>2278.78079714351</v>
      </c>
      <c r="AR29" t="n">
        <v>1453.333822501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77724.2887444754</v>
      </c>
      <c r="AY29" t="n">
        <v>79403.0202018608</v>
      </c>
      <c r="AZ29" t="n">
        <v>0</v>
      </c>
      <c r="BA29" t="n">
        <v>0</v>
      </c>
      <c r="BB29" t="n">
        <v>133925.715629808</v>
      </c>
      <c r="BC29" t="n">
        <v>27339.8631782094</v>
      </c>
      <c r="BD29" t="n">
        <v>24173.6969889673</v>
      </c>
      <c r="BE29" t="n">
        <v>13362.7964424609</v>
      </c>
      <c r="BF29" t="n">
        <v>21261.4980104217</v>
      </c>
      <c r="BG29" t="n">
        <v>29776.6247286208</v>
      </c>
      <c r="BH29" t="n">
        <v>67881.767931528</v>
      </c>
      <c r="BI29" t="n">
        <v>275388.454208647</v>
      </c>
      <c r="BJ29" t="n">
        <v>383084.195570152</v>
      </c>
      <c r="BK29" t="n">
        <v>0</v>
      </c>
      <c r="BL29" t="n">
        <v>269074.277335777</v>
      </c>
      <c r="BM29" t="n">
        <v>142879.598921344</v>
      </c>
      <c r="BN29" t="n">
        <v>85270.5840381014</v>
      </c>
      <c r="BO29" t="n">
        <v>291881.372726446</v>
      </c>
      <c r="BP29" t="n">
        <v>433669.780419222</v>
      </c>
      <c r="BQ29" t="n">
        <v>138093.211208326</v>
      </c>
      <c r="BR29" t="n">
        <v>3328.90179841018</v>
      </c>
      <c r="BS29" t="n">
        <v>964885.139016144</v>
      </c>
      <c r="BT29" t="n">
        <v>1582.74856114848</v>
      </c>
      <c r="BU29" t="n">
        <v>13463872.7088115</v>
      </c>
      <c r="BV29" t="n">
        <v>0</v>
      </c>
      <c r="BW29" t="n">
        <v>541730.172906905</v>
      </c>
      <c r="BX29" t="n">
        <v>0</v>
      </c>
      <c r="BY29" t="n">
        <v>358863.241683437</v>
      </c>
      <c r="BZ29" t="n">
        <v>760027.113345829</v>
      </c>
      <c r="CA29" t="n">
        <v>7151475.38216633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2752.0185506744</v>
      </c>
      <c r="CJ29" t="n">
        <v>0</v>
      </c>
      <c r="CK29" t="n">
        <v>0</v>
      </c>
      <c r="CL29" t="n">
        <v>0</v>
      </c>
      <c r="CM29" t="n">
        <v>4220.48725888147</v>
      </c>
      <c r="CN29" t="n">
        <v>0</v>
      </c>
    </row>
    <row r="30">
      <c r="A30" t="s">
        <v>141</v>
      </c>
      <c r="B30" t="n">
        <v>65628.7106296744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74174.8845448265</v>
      </c>
      <c r="Q30" t="n">
        <v>0</v>
      </c>
      <c r="R30" t="n">
        <v>0</v>
      </c>
      <c r="S30" t="n">
        <v>47002.7329789821</v>
      </c>
      <c r="T30" t="n">
        <v>2735.67199496621</v>
      </c>
      <c r="U30" t="n">
        <v>28563.6025564881</v>
      </c>
      <c r="V30" t="n">
        <v>311642.763909147</v>
      </c>
      <c r="W30" t="n">
        <v>0</v>
      </c>
      <c r="X30" t="n">
        <v>198147.781975394</v>
      </c>
      <c r="Y30" t="n">
        <v>0</v>
      </c>
      <c r="Z30" t="n">
        <v>0</v>
      </c>
      <c r="AA30" t="n">
        <v>2557.35758903605</v>
      </c>
      <c r="AB30" t="n">
        <v>523079.099041681</v>
      </c>
      <c r="AC30" t="n">
        <v>13441.6852067138</v>
      </c>
      <c r="AD30" t="n">
        <v>0</v>
      </c>
      <c r="AE30" t="n">
        <v>458797.763246995</v>
      </c>
      <c r="AF30" t="n">
        <v>203640.492794153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667.544150010668</v>
      </c>
      <c r="AP30" t="n">
        <v>6044.18761282543</v>
      </c>
      <c r="AQ30" t="n">
        <v>17955.1778481147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67655.556874677</v>
      </c>
      <c r="AZ30" t="n">
        <v>0</v>
      </c>
      <c r="BA30" t="n">
        <v>0</v>
      </c>
      <c r="BB30" t="n">
        <v>8017.01602394963</v>
      </c>
      <c r="BC30" t="n">
        <v>13808.8940862704</v>
      </c>
      <c r="BD30" t="n">
        <v>79589.2733251413</v>
      </c>
      <c r="BE30" t="n">
        <v>99399.0523519109</v>
      </c>
      <c r="BF30" t="n">
        <v>23129.7586418127</v>
      </c>
      <c r="BG30" t="n">
        <v>20052.8805109685</v>
      </c>
      <c r="BH30" t="n">
        <v>24730.8217898868</v>
      </c>
      <c r="BI30" t="n">
        <v>0</v>
      </c>
      <c r="BJ30" t="n">
        <v>44705.0929203977</v>
      </c>
      <c r="BK30" t="n">
        <v>33474.5381886439</v>
      </c>
      <c r="BL30" t="n">
        <v>8272.46510691062</v>
      </c>
      <c r="BM30" t="n">
        <v>4084.86933750754</v>
      </c>
      <c r="BN30" t="n">
        <v>19017.3496410692</v>
      </c>
      <c r="BO30" t="n">
        <v>1145241.7031859</v>
      </c>
      <c r="BP30" t="n">
        <v>27268.1375997408</v>
      </c>
      <c r="BQ30" t="n">
        <v>8259.69113912248</v>
      </c>
      <c r="BR30" t="n">
        <v>159730.242449623</v>
      </c>
      <c r="BS30" t="n">
        <v>613546.883342395</v>
      </c>
      <c r="BT30" t="n">
        <v>24781.9903198711</v>
      </c>
      <c r="BU30" t="n">
        <v>13159422.41353</v>
      </c>
      <c r="BV30" t="n">
        <v>0</v>
      </c>
      <c r="BW30" t="n">
        <v>0</v>
      </c>
      <c r="BX30" t="n">
        <v>0</v>
      </c>
      <c r="BY30" t="n">
        <v>0</v>
      </c>
      <c r="BZ30" t="n">
        <v>414157.683039405</v>
      </c>
      <c r="CA30" t="n">
        <v>13770932.0559266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1843824.13490786</v>
      </c>
      <c r="C31" t="n">
        <v>0</v>
      </c>
      <c r="D31" t="n">
        <v>58139.3593704998</v>
      </c>
      <c r="E31" t="n">
        <v>516223.586784487</v>
      </c>
      <c r="F31" t="n">
        <v>221439.104677401</v>
      </c>
      <c r="G31" t="n">
        <v>162262.335762137</v>
      </c>
      <c r="H31" t="n">
        <v>9320390.17284869</v>
      </c>
      <c r="I31" t="n">
        <v>16958032.4280175</v>
      </c>
      <c r="J31" t="n">
        <v>6419044.6161533</v>
      </c>
      <c r="K31" t="n">
        <v>26371028.7513909</v>
      </c>
      <c r="L31" t="n">
        <v>15314396.1032261</v>
      </c>
      <c r="M31" t="n">
        <v>11550569.7646</v>
      </c>
      <c r="N31" t="n">
        <v>374784.706654418</v>
      </c>
      <c r="O31" t="n">
        <v>7134890.89534116</v>
      </c>
      <c r="P31" t="n">
        <v>9961590.38969471</v>
      </c>
      <c r="Q31" t="n">
        <v>2079248.31745696</v>
      </c>
      <c r="R31" t="n">
        <v>6902160.93890359</v>
      </c>
      <c r="S31" t="n">
        <v>3193371.26418754</v>
      </c>
      <c r="T31" t="n">
        <v>248574526.384318</v>
      </c>
      <c r="U31" t="n">
        <v>743675.914565803</v>
      </c>
      <c r="V31" t="n">
        <v>54421.8555675642</v>
      </c>
      <c r="W31" t="n">
        <v>601285224.323384</v>
      </c>
      <c r="X31" t="n">
        <v>38973792.6322627</v>
      </c>
      <c r="Y31" t="n">
        <v>740377.493971617</v>
      </c>
      <c r="Z31" t="n">
        <v>13562545.1518167</v>
      </c>
      <c r="AA31" t="n">
        <v>42809892.3519429</v>
      </c>
      <c r="AB31" t="n">
        <v>29757278.1310616</v>
      </c>
      <c r="AC31" t="n">
        <v>892237.727637285</v>
      </c>
      <c r="AD31" t="n">
        <v>5080319.48809874</v>
      </c>
      <c r="AE31" t="n">
        <v>3664575.58513158</v>
      </c>
      <c r="AF31" t="n">
        <v>4685182.49066458</v>
      </c>
      <c r="AG31" t="n">
        <v>28353.7026234657</v>
      </c>
      <c r="AH31" t="n">
        <v>1028985.17328374</v>
      </c>
      <c r="AI31" t="n">
        <v>1111.39720822398</v>
      </c>
      <c r="AJ31" t="n">
        <v>2425811.34463498</v>
      </c>
      <c r="AK31" t="n">
        <v>1733833.24396454</v>
      </c>
      <c r="AL31" t="n">
        <v>104600.943560152</v>
      </c>
      <c r="AM31" t="n">
        <v>6849726.56194387</v>
      </c>
      <c r="AN31" t="n">
        <v>1012675.47280993</v>
      </c>
      <c r="AO31" t="n">
        <v>1364640.10329286</v>
      </c>
      <c r="AP31" t="n">
        <v>46994.1255850518</v>
      </c>
      <c r="AQ31" t="n">
        <v>592391.959768903</v>
      </c>
      <c r="AR31" t="n">
        <v>285809.848416114</v>
      </c>
      <c r="AS31" t="n">
        <v>2974439.36514903</v>
      </c>
      <c r="AT31" t="n">
        <v>421367.507985857</v>
      </c>
      <c r="AU31" t="n">
        <v>3090145.26571643</v>
      </c>
      <c r="AV31" t="n">
        <v>3645.79345015938</v>
      </c>
      <c r="AW31" t="n">
        <v>0</v>
      </c>
      <c r="AX31" t="n">
        <v>1810426.31497804</v>
      </c>
      <c r="AY31" t="n">
        <v>2130013.96354329</v>
      </c>
      <c r="AZ31" t="n">
        <v>693592.825837687</v>
      </c>
      <c r="BA31" t="n">
        <v>1121144.28873643</v>
      </c>
      <c r="BB31" t="n">
        <v>5348315.37174094</v>
      </c>
      <c r="BC31" t="n">
        <v>10451305.1232846</v>
      </c>
      <c r="BD31" t="n">
        <v>17913281.7749696</v>
      </c>
      <c r="BE31" t="n">
        <v>1778934.81482094</v>
      </c>
      <c r="BF31" t="n">
        <v>593573.975029242</v>
      </c>
      <c r="BG31" t="n">
        <v>6157401.02731965</v>
      </c>
      <c r="BH31" t="n">
        <v>6635770.59608878</v>
      </c>
      <c r="BI31" t="n">
        <v>4040203.56406364</v>
      </c>
      <c r="BJ31" t="n">
        <v>6793496.22858815</v>
      </c>
      <c r="BK31" t="n">
        <v>115785.907956815</v>
      </c>
      <c r="BL31" t="n">
        <v>385092.30576735</v>
      </c>
      <c r="BM31" t="n">
        <v>7619613.93354814</v>
      </c>
      <c r="BN31" t="n">
        <v>20189155.4235514</v>
      </c>
      <c r="BO31" t="n">
        <v>4337378.74111301</v>
      </c>
      <c r="BP31" t="n">
        <v>692839.893394208</v>
      </c>
      <c r="BQ31" t="n">
        <v>7058435.02936254</v>
      </c>
      <c r="BR31" t="n">
        <v>614617.516382</v>
      </c>
      <c r="BS31" t="n">
        <v>56278042.8369591</v>
      </c>
      <c r="BT31" t="n">
        <v>113549.896042318</v>
      </c>
      <c r="BU31" t="n">
        <v>115341794.314944</v>
      </c>
      <c r="BV31" t="n">
        <v>0</v>
      </c>
      <c r="BW31" t="n">
        <v>0</v>
      </c>
      <c r="BX31" t="n">
        <v>0</v>
      </c>
      <c r="BY31" t="n">
        <v>0</v>
      </c>
      <c r="BZ31" t="n">
        <v>18053278.2498236</v>
      </c>
      <c r="CA31" t="n">
        <v>435115162.461159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102931.499389722</v>
      </c>
      <c r="C32" t="n">
        <v>0</v>
      </c>
      <c r="D32" t="n">
        <v>6268.22749471364</v>
      </c>
      <c r="E32" t="n">
        <v>8769.33503473046</v>
      </c>
      <c r="F32" t="n">
        <v>0</v>
      </c>
      <c r="G32" t="n">
        <v>59639.0633287244</v>
      </c>
      <c r="H32" t="n">
        <v>92928.5178549498</v>
      </c>
      <c r="I32" t="n">
        <v>78670.850578512</v>
      </c>
      <c r="J32" t="n">
        <v>0</v>
      </c>
      <c r="K32" t="n">
        <v>0</v>
      </c>
      <c r="L32" t="n">
        <v>82026.5756088869</v>
      </c>
      <c r="M32" t="n">
        <v>29749.4329145397</v>
      </c>
      <c r="N32" t="n">
        <v>0</v>
      </c>
      <c r="O32" t="n">
        <v>15192.3628805612</v>
      </c>
      <c r="P32" t="n">
        <v>10012.7160224376</v>
      </c>
      <c r="Q32" t="n">
        <v>0</v>
      </c>
      <c r="R32" t="n">
        <v>0</v>
      </c>
      <c r="S32" t="n">
        <v>0</v>
      </c>
      <c r="T32" t="n">
        <v>660092.951061439</v>
      </c>
      <c r="U32" t="n">
        <v>0</v>
      </c>
      <c r="V32" t="n">
        <v>4835.79324768565</v>
      </c>
      <c r="W32" t="n">
        <v>0</v>
      </c>
      <c r="X32" t="n">
        <v>7104400.66045723</v>
      </c>
      <c r="Y32" t="n">
        <v>4929.37049046363</v>
      </c>
      <c r="Z32" t="n">
        <v>342126.250809871</v>
      </c>
      <c r="AA32" t="n">
        <v>0</v>
      </c>
      <c r="AB32" t="n">
        <v>62392346.9089488</v>
      </c>
      <c r="AC32" t="n">
        <v>1362210.05372694</v>
      </c>
      <c r="AD32" t="n">
        <v>859755.151424751</v>
      </c>
      <c r="AE32" t="n">
        <v>1869918.3931049</v>
      </c>
      <c r="AF32" t="n">
        <v>23924122.7489713</v>
      </c>
      <c r="AG32" t="n">
        <v>6238.61533088472</v>
      </c>
      <c r="AH32" t="n">
        <v>133553.982144807</v>
      </c>
      <c r="AI32" t="n">
        <v>0</v>
      </c>
      <c r="AJ32" t="n">
        <v>3212590.87235859</v>
      </c>
      <c r="AK32" t="n">
        <v>135457.403727127</v>
      </c>
      <c r="AL32" t="n">
        <v>13809.0970082892</v>
      </c>
      <c r="AM32" t="n">
        <v>1039305.67080408</v>
      </c>
      <c r="AN32" t="n">
        <v>65290.6224462674</v>
      </c>
      <c r="AO32" t="n">
        <v>3613390.29961941</v>
      </c>
      <c r="AP32" t="n">
        <v>610100.636461852</v>
      </c>
      <c r="AQ32" t="n">
        <v>899810.783571487</v>
      </c>
      <c r="AR32" t="n">
        <v>5718869.12003365</v>
      </c>
      <c r="AS32" t="n">
        <v>3928480.22242587</v>
      </c>
      <c r="AT32" t="n">
        <v>1550813.92619813</v>
      </c>
      <c r="AU32" t="n">
        <v>13538628.7937178</v>
      </c>
      <c r="AV32" t="n">
        <v>0</v>
      </c>
      <c r="AW32" t="n">
        <v>0</v>
      </c>
      <c r="AX32" t="n">
        <v>253417.664403061</v>
      </c>
      <c r="AY32" t="n">
        <v>1319437.64855936</v>
      </c>
      <c r="AZ32" t="n">
        <v>1448592.57917461</v>
      </c>
      <c r="BA32" t="n">
        <v>785374.580085853</v>
      </c>
      <c r="BB32" t="n">
        <v>13098533.3662673</v>
      </c>
      <c r="BC32" t="n">
        <v>10395719.7482115</v>
      </c>
      <c r="BD32" t="n">
        <v>10863451.5074739</v>
      </c>
      <c r="BE32" t="n">
        <v>88829.9771269068</v>
      </c>
      <c r="BF32" t="n">
        <v>1775290.13255432</v>
      </c>
      <c r="BG32" t="n">
        <v>9519904.1882795</v>
      </c>
      <c r="BH32" t="n">
        <v>19393802.983096</v>
      </c>
      <c r="BI32" t="n">
        <v>785226.912763034</v>
      </c>
      <c r="BJ32" t="n">
        <v>11744275.768705</v>
      </c>
      <c r="BK32" t="n">
        <v>1184641.89239651</v>
      </c>
      <c r="BL32" t="n">
        <v>570306.038675189</v>
      </c>
      <c r="BM32" t="n">
        <v>1268192.81918507</v>
      </c>
      <c r="BN32" t="n">
        <v>4853240.66355488</v>
      </c>
      <c r="BO32" t="n">
        <v>6543076.54665952</v>
      </c>
      <c r="BP32" t="n">
        <v>1259823.06472808</v>
      </c>
      <c r="BQ32" t="n">
        <v>5443074.10801719</v>
      </c>
      <c r="BR32" t="n">
        <v>231248.791462589</v>
      </c>
      <c r="BS32" t="n">
        <v>47620062.3295636</v>
      </c>
      <c r="BT32" t="n">
        <v>1492988.69879899</v>
      </c>
      <c r="BU32" t="n">
        <v>15396205.1331488</v>
      </c>
      <c r="BV32" t="n">
        <v>0</v>
      </c>
      <c r="BW32" t="n">
        <v>0</v>
      </c>
      <c r="BX32" t="n">
        <v>0</v>
      </c>
      <c r="BY32" t="n">
        <v>0</v>
      </c>
      <c r="BZ32" t="n">
        <v>915516.157213702</v>
      </c>
      <c r="CA32" t="n">
        <v>11940877.4279276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28044857.1400278</v>
      </c>
      <c r="C33" t="n">
        <v>981748.4058738</v>
      </c>
      <c r="D33" t="n">
        <v>2257007.36323107</v>
      </c>
      <c r="E33" t="n">
        <v>6556656.7432839</v>
      </c>
      <c r="F33" t="n">
        <v>4887820.62277757</v>
      </c>
      <c r="G33" t="n">
        <v>51186836.6342591</v>
      </c>
      <c r="H33" t="n">
        <v>91427063.7181133</v>
      </c>
      <c r="I33" t="n">
        <v>7275935.48018379</v>
      </c>
      <c r="J33" t="n">
        <v>1388330.08026094</v>
      </c>
      <c r="K33" t="n">
        <v>17168477.760256</v>
      </c>
      <c r="L33" t="n">
        <v>3295917.27498677</v>
      </c>
      <c r="M33" t="n">
        <v>2515675.84671512</v>
      </c>
      <c r="N33" t="n">
        <v>50272.9854164386</v>
      </c>
      <c r="O33" t="n">
        <v>2324693.04155606</v>
      </c>
      <c r="P33" t="n">
        <v>543654.742255974</v>
      </c>
      <c r="Q33" t="n">
        <v>380506.671830593</v>
      </c>
      <c r="R33" t="n">
        <v>836432.462551652</v>
      </c>
      <c r="S33" t="n">
        <v>943841.283402027</v>
      </c>
      <c r="T33" t="n">
        <v>19714095.0333432</v>
      </c>
      <c r="U33" t="n">
        <v>74178.6637100076</v>
      </c>
      <c r="V33" t="n">
        <v>10050.3851963369</v>
      </c>
      <c r="W33" t="n">
        <v>10538166.4413436</v>
      </c>
      <c r="X33" t="n">
        <v>1545719.88721833</v>
      </c>
      <c r="Y33" t="n">
        <v>24321320.9063571</v>
      </c>
      <c r="Z33" t="n">
        <v>9219063.05315595</v>
      </c>
      <c r="AA33" t="n">
        <v>4462998.65137456</v>
      </c>
      <c r="AB33" t="n">
        <v>13410194.2963355</v>
      </c>
      <c r="AC33" t="n">
        <v>2894787.99060549</v>
      </c>
      <c r="AD33" t="n">
        <v>1233507.6542824</v>
      </c>
      <c r="AE33" t="n">
        <v>1412662.40122885</v>
      </c>
      <c r="AF33" t="n">
        <v>3987163.68414667</v>
      </c>
      <c r="AG33" t="n">
        <v>9171764.55612521</v>
      </c>
      <c r="AH33" t="n">
        <v>24627358.4963431</v>
      </c>
      <c r="AI33" t="n">
        <v>491953.493343162</v>
      </c>
      <c r="AJ33" t="n">
        <v>127690722.057827</v>
      </c>
      <c r="AK33" t="n">
        <v>1592378.57803039</v>
      </c>
      <c r="AL33" t="n">
        <v>196414.886163682</v>
      </c>
      <c r="AM33" t="n">
        <v>22858540.2303814</v>
      </c>
      <c r="AN33" t="n">
        <v>9340381.02283612</v>
      </c>
      <c r="AO33" t="n">
        <v>197509.531590132</v>
      </c>
      <c r="AP33" t="n">
        <v>42939.9628980974</v>
      </c>
      <c r="AQ33" t="n">
        <v>648765.096984274</v>
      </c>
      <c r="AR33" t="n">
        <v>502845.646999925</v>
      </c>
      <c r="AS33" t="n">
        <v>10118469.4432462</v>
      </c>
      <c r="AT33" t="n">
        <v>2368856.92894002</v>
      </c>
      <c r="AU33" t="n">
        <v>154876.277993691</v>
      </c>
      <c r="AV33" t="n">
        <v>810723.935852047</v>
      </c>
      <c r="AW33" t="n">
        <v>77088.8082391993</v>
      </c>
      <c r="AX33" t="n">
        <v>7427296.86702681</v>
      </c>
      <c r="AY33" t="n">
        <v>2990569.54718415</v>
      </c>
      <c r="AZ33" t="n">
        <v>64411.8314609192</v>
      </c>
      <c r="BA33" t="n">
        <v>1672805.8303373</v>
      </c>
      <c r="BB33" t="n">
        <v>2532849.31944978</v>
      </c>
      <c r="BC33" t="n">
        <v>4333847.6733753</v>
      </c>
      <c r="BD33" t="n">
        <v>11783303.588554</v>
      </c>
      <c r="BE33" t="n">
        <v>4360066.69583583</v>
      </c>
      <c r="BF33" t="n">
        <v>1541033.43876197</v>
      </c>
      <c r="BG33" t="n">
        <v>2778018.32203547</v>
      </c>
      <c r="BH33" t="n">
        <v>3672707.48620246</v>
      </c>
      <c r="BI33" t="n">
        <v>2503877.85398465</v>
      </c>
      <c r="BJ33" t="n">
        <v>3103607.57272521</v>
      </c>
      <c r="BK33" t="n">
        <v>191334.62256545</v>
      </c>
      <c r="BL33" t="n">
        <v>1152690.09867557</v>
      </c>
      <c r="BM33" t="n">
        <v>1406631.01189039</v>
      </c>
      <c r="BN33" t="n">
        <v>9688341.98675452</v>
      </c>
      <c r="BO33" t="n">
        <v>6419699.30256222</v>
      </c>
      <c r="BP33" t="n">
        <v>11818356.7770192</v>
      </c>
      <c r="BQ33" t="n">
        <v>1877748.89216779</v>
      </c>
      <c r="BR33" t="n">
        <v>3246237.78252184</v>
      </c>
      <c r="BS33" t="n">
        <v>226163996.020891</v>
      </c>
      <c r="BT33" t="n">
        <v>36092568.7471119</v>
      </c>
      <c r="BU33" t="n">
        <v>856465432.333829</v>
      </c>
      <c r="BV33" t="n">
        <v>0</v>
      </c>
      <c r="BW33" t="n">
        <v>0</v>
      </c>
      <c r="BX33" t="n">
        <v>0</v>
      </c>
      <c r="BY33" t="n">
        <v>0</v>
      </c>
      <c r="BZ33" t="n">
        <v>8213937.59198747</v>
      </c>
      <c r="CA33" t="n">
        <v>37260706.2875927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52167704.8545572</v>
      </c>
      <c r="C34" t="n">
        <v>2237348.89562025</v>
      </c>
      <c r="D34" t="n">
        <v>1449066.24349014</v>
      </c>
      <c r="E34" t="n">
        <v>2012228.22165806</v>
      </c>
      <c r="F34" t="n">
        <v>1655542.87345713</v>
      </c>
      <c r="G34" t="n">
        <v>3217101.94856962</v>
      </c>
      <c r="H34" t="n">
        <v>18090262.1373191</v>
      </c>
      <c r="I34" t="n">
        <v>20215097.5570141</v>
      </c>
      <c r="J34" t="n">
        <v>4717528.58325026</v>
      </c>
      <c r="K34" t="n">
        <v>7498081.62624518</v>
      </c>
      <c r="L34" t="n">
        <v>15287445.4417314</v>
      </c>
      <c r="M34" t="n">
        <v>5901791.59745078</v>
      </c>
      <c r="N34" t="n">
        <v>494396.190938935</v>
      </c>
      <c r="O34" t="n">
        <v>5026360.84941288</v>
      </c>
      <c r="P34" t="n">
        <v>8910353.40375842</v>
      </c>
      <c r="Q34" t="n">
        <v>1897069.42720191</v>
      </c>
      <c r="R34" t="n">
        <v>3791840.6839936</v>
      </c>
      <c r="S34" t="n">
        <v>3479100.30865615</v>
      </c>
      <c r="T34" t="n">
        <v>26660885.1767208</v>
      </c>
      <c r="U34" t="n">
        <v>7152565.78681748</v>
      </c>
      <c r="V34" t="n">
        <v>105679.073819748</v>
      </c>
      <c r="W34" t="n">
        <v>47734548.8663894</v>
      </c>
      <c r="X34" t="n">
        <v>7353876.51505997</v>
      </c>
      <c r="Y34" t="n">
        <v>31231149.1169014</v>
      </c>
      <c r="Z34" t="n">
        <v>111497470.458472</v>
      </c>
      <c r="AA34" t="n">
        <v>207564251.697157</v>
      </c>
      <c r="AB34" t="n">
        <v>3319744.03337854</v>
      </c>
      <c r="AC34" t="n">
        <v>353748.236209807</v>
      </c>
      <c r="AD34" t="n">
        <v>147050.412514047</v>
      </c>
      <c r="AE34" t="n">
        <v>106856.227100809</v>
      </c>
      <c r="AF34" t="n">
        <v>1344259.91870526</v>
      </c>
      <c r="AG34" t="n">
        <v>558.752726986066</v>
      </c>
      <c r="AH34" t="n">
        <v>942571.940071664</v>
      </c>
      <c r="AI34" t="n">
        <v>344.9528482551</v>
      </c>
      <c r="AJ34" t="n">
        <v>993749.845580675</v>
      </c>
      <c r="AK34" t="n">
        <v>9532.32507530483</v>
      </c>
      <c r="AL34" t="n">
        <v>1855.18825925973</v>
      </c>
      <c r="AM34" t="n">
        <v>68495.7273805241</v>
      </c>
      <c r="AN34" t="n">
        <v>615953.722822953</v>
      </c>
      <c r="AO34" t="n">
        <v>145031.585547052</v>
      </c>
      <c r="AP34" t="n">
        <v>67632.2540409917</v>
      </c>
      <c r="AQ34" t="n">
        <v>339872.076008132</v>
      </c>
      <c r="AR34" t="n">
        <v>475652.769509675</v>
      </c>
      <c r="AS34" t="n">
        <v>71732.67176663</v>
      </c>
      <c r="AT34" t="n">
        <v>24219.0842312452</v>
      </c>
      <c r="AU34" t="n">
        <v>79102.0214910003</v>
      </c>
      <c r="AV34" t="n">
        <v>0</v>
      </c>
      <c r="AW34" t="n">
        <v>527733.354576837</v>
      </c>
      <c r="AX34" t="n">
        <v>5722286.64919282</v>
      </c>
      <c r="AY34" t="n">
        <v>163995.961060883</v>
      </c>
      <c r="AZ34" t="n">
        <v>64973.3750800115</v>
      </c>
      <c r="BA34" t="n">
        <v>221737.064385453</v>
      </c>
      <c r="BB34" t="n">
        <v>8447037.66109961</v>
      </c>
      <c r="BC34" t="n">
        <v>2447063.66819215</v>
      </c>
      <c r="BD34" t="n">
        <v>13117303.4906961</v>
      </c>
      <c r="BE34" t="n">
        <v>3131454.36902702</v>
      </c>
      <c r="BF34" t="n">
        <v>621723.805900135</v>
      </c>
      <c r="BG34" t="n">
        <v>63630316.4141389</v>
      </c>
      <c r="BH34" t="n">
        <v>29290072.1864743</v>
      </c>
      <c r="BI34" t="n">
        <v>8539148.075738</v>
      </c>
      <c r="BJ34" t="n">
        <v>1222137.43054766</v>
      </c>
      <c r="BK34" t="n">
        <v>263229.475325836</v>
      </c>
      <c r="BL34" t="n">
        <v>834625.155026938</v>
      </c>
      <c r="BM34" t="n">
        <v>98870.9506810632</v>
      </c>
      <c r="BN34" t="n">
        <v>1125606.41506272</v>
      </c>
      <c r="BO34" t="n">
        <v>9356660.16008014</v>
      </c>
      <c r="BP34" t="n">
        <v>1445205.99170027</v>
      </c>
      <c r="BQ34" t="n">
        <v>3100333.14112098</v>
      </c>
      <c r="BR34" t="n">
        <v>106100.862689349</v>
      </c>
      <c r="BS34" t="n">
        <v>50806582.2056789</v>
      </c>
      <c r="BT34" t="n">
        <v>3094504.28078553</v>
      </c>
      <c r="BU34" t="n">
        <v>394295580.299277</v>
      </c>
      <c r="BV34" t="n">
        <v>0</v>
      </c>
      <c r="BW34" t="n">
        <v>521347.751847529</v>
      </c>
      <c r="BX34" t="n">
        <v>0</v>
      </c>
      <c r="BY34" t="n">
        <v>0</v>
      </c>
      <c r="BZ34" t="n">
        <v>25377136.8286511</v>
      </c>
      <c r="CA34" t="n">
        <v>608254497.822336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6080925.8621235</v>
      </c>
      <c r="C35" t="n">
        <v>235902.676950508</v>
      </c>
      <c r="D35" t="n">
        <v>39216.2839198386</v>
      </c>
      <c r="E35" t="n">
        <v>1742270.07907649</v>
      </c>
      <c r="F35" t="n">
        <v>1121679.85811473</v>
      </c>
      <c r="G35" t="n">
        <v>68254.282980383</v>
      </c>
      <c r="H35" t="n">
        <v>55159184.3425443</v>
      </c>
      <c r="I35" t="n">
        <v>7909603.3722439</v>
      </c>
      <c r="J35" t="n">
        <v>2023248.41681913</v>
      </c>
      <c r="K35" t="n">
        <v>4695786.17927685</v>
      </c>
      <c r="L35" t="n">
        <v>8523227.75434167</v>
      </c>
      <c r="M35" t="n">
        <v>27522959.8955842</v>
      </c>
      <c r="N35" t="n">
        <v>911301.160750842</v>
      </c>
      <c r="O35" t="n">
        <v>7152428.37822057</v>
      </c>
      <c r="P35" t="n">
        <v>22183123.4758205</v>
      </c>
      <c r="Q35" t="n">
        <v>6848752.11668632</v>
      </c>
      <c r="R35" t="n">
        <v>7660067.58710887</v>
      </c>
      <c r="S35" t="n">
        <v>4015187.78325143</v>
      </c>
      <c r="T35" t="n">
        <v>121598816.546336</v>
      </c>
      <c r="U35" t="n">
        <v>404904.508814309</v>
      </c>
      <c r="V35" t="n">
        <v>134300.287956357</v>
      </c>
      <c r="W35" t="n">
        <v>25601424.6861318</v>
      </c>
      <c r="X35" t="n">
        <v>5799286.21890547</v>
      </c>
      <c r="Y35" t="n">
        <v>659485.219910492</v>
      </c>
      <c r="Z35" t="n">
        <v>11231817.8633397</v>
      </c>
      <c r="AA35" t="n">
        <v>114331984.700606</v>
      </c>
      <c r="AB35" t="n">
        <v>59515466.969391</v>
      </c>
      <c r="AC35" t="n">
        <v>3687683.6846216</v>
      </c>
      <c r="AD35" t="n">
        <v>4283682.33297761</v>
      </c>
      <c r="AE35" t="n">
        <v>2463014.55274011</v>
      </c>
      <c r="AF35" t="n">
        <v>9161142.20809534</v>
      </c>
      <c r="AG35" t="n">
        <v>4997.874458508</v>
      </c>
      <c r="AH35" t="n">
        <v>35664.2193174463</v>
      </c>
      <c r="AI35" t="n">
        <v>0</v>
      </c>
      <c r="AJ35" t="n">
        <v>5442117.77209809</v>
      </c>
      <c r="AK35" t="n">
        <v>26483.4437251561</v>
      </c>
      <c r="AL35" t="n">
        <v>63610.712480369</v>
      </c>
      <c r="AM35" t="n">
        <v>5084667.25170455</v>
      </c>
      <c r="AN35" t="n">
        <v>645102.03674456</v>
      </c>
      <c r="AO35" t="n">
        <v>112406.5847488</v>
      </c>
      <c r="AP35" t="n">
        <v>33319.8549953158</v>
      </c>
      <c r="AQ35" t="n">
        <v>5855840.01540005</v>
      </c>
      <c r="AR35" t="n">
        <v>460873.957598444</v>
      </c>
      <c r="AS35" t="n">
        <v>100521.577942892</v>
      </c>
      <c r="AT35" t="n">
        <v>77987.6628623463</v>
      </c>
      <c r="AU35" t="n">
        <v>1593938.72815577</v>
      </c>
      <c r="AV35" t="n">
        <v>0</v>
      </c>
      <c r="AW35" t="n">
        <v>22639.882670915</v>
      </c>
      <c r="AX35" t="n">
        <v>174766.092399924</v>
      </c>
      <c r="AY35" t="n">
        <v>2117648.96897302</v>
      </c>
      <c r="AZ35" t="n">
        <v>25747.9150309934</v>
      </c>
      <c r="BA35" t="n">
        <v>2844498.60800872</v>
      </c>
      <c r="BB35" t="n">
        <v>8213472.86125205</v>
      </c>
      <c r="BC35" t="n">
        <v>498269.009099811</v>
      </c>
      <c r="BD35" t="n">
        <v>4785615.01783727</v>
      </c>
      <c r="BE35" t="n">
        <v>1363174.44869532</v>
      </c>
      <c r="BF35" t="n">
        <v>554977.670691557</v>
      </c>
      <c r="BG35" t="n">
        <v>26145498.4147924</v>
      </c>
      <c r="BH35" t="n">
        <v>11076361.1325069</v>
      </c>
      <c r="BI35" t="n">
        <v>5394361.58682103</v>
      </c>
      <c r="BJ35" t="n">
        <v>4457636.08210298</v>
      </c>
      <c r="BK35" t="n">
        <v>45457.4079091855</v>
      </c>
      <c r="BL35" t="n">
        <v>338093.502557612</v>
      </c>
      <c r="BM35" t="n">
        <v>266715.004756312</v>
      </c>
      <c r="BN35" t="n">
        <v>20390142.6309477</v>
      </c>
      <c r="BO35" t="n">
        <v>8415022.12764229</v>
      </c>
      <c r="BP35" t="n">
        <v>3751344.76825099</v>
      </c>
      <c r="BQ35" t="n">
        <v>1298585.60573151</v>
      </c>
      <c r="BR35" t="n">
        <v>30334.6178009852</v>
      </c>
      <c r="BS35" t="n">
        <v>22948431.8351421</v>
      </c>
      <c r="BT35" t="n">
        <v>7260847.75793064</v>
      </c>
      <c r="BU35" t="n">
        <v>64738583.5886476</v>
      </c>
      <c r="BV35" t="n">
        <v>0</v>
      </c>
      <c r="BW35" t="n">
        <v>2100425.96308997</v>
      </c>
      <c r="BX35" t="n">
        <v>0</v>
      </c>
      <c r="BY35" t="n">
        <v>124181.01471201</v>
      </c>
      <c r="BZ35" t="n">
        <v>17629121.8104454</v>
      </c>
      <c r="CA35" t="n">
        <v>205410057.802858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28084.4078176711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109215837.523092</v>
      </c>
      <c r="C36" t="n">
        <v>4675875.85454247</v>
      </c>
      <c r="D36" t="n">
        <v>2325601.45959551</v>
      </c>
      <c r="E36" t="n">
        <v>6111107.39183579</v>
      </c>
      <c r="F36" t="n">
        <v>4716763.77083017</v>
      </c>
      <c r="G36" t="n">
        <v>19399855.7482442</v>
      </c>
      <c r="H36" t="n">
        <v>135718702.081394</v>
      </c>
      <c r="I36" t="n">
        <v>62469686.935754</v>
      </c>
      <c r="J36" t="n">
        <v>10475110.5969511</v>
      </c>
      <c r="K36" t="n">
        <v>170374743.036757</v>
      </c>
      <c r="L36" t="n">
        <v>57935046.4577063</v>
      </c>
      <c r="M36" t="n">
        <v>67982214.701314</v>
      </c>
      <c r="N36" t="n">
        <v>2940367.05929059</v>
      </c>
      <c r="O36" t="n">
        <v>24273009.961278</v>
      </c>
      <c r="P36" t="n">
        <v>54687604.1327947</v>
      </c>
      <c r="Q36" t="n">
        <v>20395353.7587892</v>
      </c>
      <c r="R36" t="n">
        <v>11398523.59185</v>
      </c>
      <c r="S36" t="n">
        <v>5873475.74540966</v>
      </c>
      <c r="T36" t="n">
        <v>368493860.119263</v>
      </c>
      <c r="U36" t="n">
        <v>2591679.29642649</v>
      </c>
      <c r="V36" t="n">
        <v>1526239.55487917</v>
      </c>
      <c r="W36" t="n">
        <v>89339704.5680029</v>
      </c>
      <c r="X36" t="n">
        <v>9080164.3311955</v>
      </c>
      <c r="Y36" t="n">
        <v>20246316.867544</v>
      </c>
      <c r="Z36" t="n">
        <v>49064937.2594568</v>
      </c>
      <c r="AA36" t="n">
        <v>77062070.4949869</v>
      </c>
      <c r="AB36" t="n">
        <v>125516624.953893</v>
      </c>
      <c r="AC36" t="n">
        <v>10077594.0370711</v>
      </c>
      <c r="AD36" t="n">
        <v>5026902.47805183</v>
      </c>
      <c r="AE36" t="n">
        <v>10634828.5520661</v>
      </c>
      <c r="AF36" t="n">
        <v>28316813.8698002</v>
      </c>
      <c r="AG36" t="n">
        <v>1046523.38762886</v>
      </c>
      <c r="AH36" t="n">
        <v>11075403.7085909</v>
      </c>
      <c r="AI36" t="n">
        <v>187524.83101374</v>
      </c>
      <c r="AJ36" t="n">
        <v>45742750.4577451</v>
      </c>
      <c r="AK36" t="n">
        <v>610435.591589848</v>
      </c>
      <c r="AL36" t="n">
        <v>362826.68666502</v>
      </c>
      <c r="AM36" t="n">
        <v>9344617.07616259</v>
      </c>
      <c r="AN36" t="n">
        <v>4950027.17960624</v>
      </c>
      <c r="AO36" t="n">
        <v>3666268.66163649</v>
      </c>
      <c r="AP36" t="n">
        <v>116729.622066543</v>
      </c>
      <c r="AQ36" t="n">
        <v>10668686.9810187</v>
      </c>
      <c r="AR36" t="n">
        <v>1959497.08384786</v>
      </c>
      <c r="AS36" t="n">
        <v>3345224.68286514</v>
      </c>
      <c r="AT36" t="n">
        <v>862958.267778414</v>
      </c>
      <c r="AU36" t="n">
        <v>1469443.66752488</v>
      </c>
      <c r="AV36" t="n">
        <v>541494.079010209</v>
      </c>
      <c r="AW36" t="n">
        <v>930977.176946477</v>
      </c>
      <c r="AX36" t="n">
        <v>5338206.5298001</v>
      </c>
      <c r="AY36" t="n">
        <v>16975710.4266172</v>
      </c>
      <c r="AZ36" t="n">
        <v>479614.915634713</v>
      </c>
      <c r="BA36" t="n">
        <v>3912810.72650406</v>
      </c>
      <c r="BB36" t="n">
        <v>16456724.9029242</v>
      </c>
      <c r="BC36" t="n">
        <v>15355501.4078122</v>
      </c>
      <c r="BD36" t="n">
        <v>19359175.3362185</v>
      </c>
      <c r="BE36" t="n">
        <v>7230311.52392862</v>
      </c>
      <c r="BF36" t="n">
        <v>2795648.99518485</v>
      </c>
      <c r="BG36" t="n">
        <v>54378489.2973228</v>
      </c>
      <c r="BH36" t="n">
        <v>33568892.2509477</v>
      </c>
      <c r="BI36" t="n">
        <v>8073340.21811264</v>
      </c>
      <c r="BJ36" t="n">
        <v>13296665.7170554</v>
      </c>
      <c r="BK36" t="n">
        <v>430033.659622651</v>
      </c>
      <c r="BL36" t="n">
        <v>3567127.99824922</v>
      </c>
      <c r="BM36" t="n">
        <v>4532932.21634992</v>
      </c>
      <c r="BN36" t="n">
        <v>49099027.8229637</v>
      </c>
      <c r="BO36" t="n">
        <v>22470562.3253075</v>
      </c>
      <c r="BP36" t="n">
        <v>12402089.4778678</v>
      </c>
      <c r="BQ36" t="n">
        <v>6243445.5362943</v>
      </c>
      <c r="BR36" t="n">
        <v>2529778.3124069</v>
      </c>
      <c r="BS36" t="n">
        <v>84605952.5630806</v>
      </c>
      <c r="BT36" t="n">
        <v>17162082.3619436</v>
      </c>
      <c r="BU36" t="n">
        <v>1224543808.5549</v>
      </c>
      <c r="BV36" t="n">
        <v>208042.456438948</v>
      </c>
      <c r="BW36" t="n">
        <v>483234882.845296</v>
      </c>
      <c r="BX36" t="n">
        <v>55783460.927973</v>
      </c>
      <c r="BY36" t="n">
        <v>8341373.91610198</v>
      </c>
      <c r="BZ36" t="n">
        <v>73895080.2005264</v>
      </c>
      <c r="CA36" t="n">
        <v>1670228853.3554</v>
      </c>
      <c r="CB36" t="n">
        <v>0</v>
      </c>
      <c r="CC36" t="n">
        <v>0</v>
      </c>
      <c r="CD36" t="n">
        <v>0</v>
      </c>
      <c r="CE36" t="n">
        <v>63333672.5370074</v>
      </c>
      <c r="CF36" t="n">
        <v>5600697.40455182</v>
      </c>
      <c r="CG36" t="n">
        <v>0</v>
      </c>
      <c r="CH36" t="n">
        <v>0</v>
      </c>
      <c r="CI36" t="n">
        <v>96543.1330254645</v>
      </c>
      <c r="CJ36" t="n">
        <v>0</v>
      </c>
      <c r="CK36" t="n">
        <v>0</v>
      </c>
      <c r="CL36" t="n">
        <v>0</v>
      </c>
      <c r="CM36" t="n">
        <v>19989966.8362372</v>
      </c>
      <c r="CN36" t="n">
        <v>4541531.17995724</v>
      </c>
    </row>
    <row r="37">
      <c r="A37" t="s">
        <v>148</v>
      </c>
      <c r="B37" t="n">
        <v>128123.623890645</v>
      </c>
      <c r="C37" t="n">
        <v>15272.3337923915</v>
      </c>
      <c r="D37" t="n">
        <v>181683.391882831</v>
      </c>
      <c r="E37" t="n">
        <v>889621.327964976</v>
      </c>
      <c r="F37" t="n">
        <v>749915.623617405</v>
      </c>
      <c r="G37" t="n">
        <v>148471.031014299</v>
      </c>
      <c r="H37" t="n">
        <v>11506654.4310931</v>
      </c>
      <c r="I37" t="n">
        <v>6977175.2116102</v>
      </c>
      <c r="J37" t="n">
        <v>842495.875166353</v>
      </c>
      <c r="K37" t="n">
        <v>2617087.27499239</v>
      </c>
      <c r="L37" t="n">
        <v>3925265.9356442</v>
      </c>
      <c r="M37" t="n">
        <v>16460058.3967586</v>
      </c>
      <c r="N37" t="n">
        <v>121316.289542967</v>
      </c>
      <c r="O37" t="n">
        <v>28365.9608466792</v>
      </c>
      <c r="P37" t="n">
        <v>10085920.064342</v>
      </c>
      <c r="Q37" t="n">
        <v>3123548.41722641</v>
      </c>
      <c r="R37" t="n">
        <v>765234.992132907</v>
      </c>
      <c r="S37" t="n">
        <v>588610.75267588</v>
      </c>
      <c r="T37" t="n">
        <v>22168073.6253204</v>
      </c>
      <c r="U37" t="n">
        <v>52086.5817003648</v>
      </c>
      <c r="V37" t="n">
        <v>0</v>
      </c>
      <c r="W37" t="n">
        <v>7581132.40668714</v>
      </c>
      <c r="X37" t="n">
        <v>290952.013879883</v>
      </c>
      <c r="Y37" t="n">
        <v>9203.72501832328</v>
      </c>
      <c r="Z37" t="n">
        <v>1451201.39393718</v>
      </c>
      <c r="AA37" t="n">
        <v>2135296.75355371</v>
      </c>
      <c r="AB37" t="n">
        <v>801554.913972331</v>
      </c>
      <c r="AC37" t="n">
        <v>9778892.90189462</v>
      </c>
      <c r="AD37" t="n">
        <v>3652411.27942145</v>
      </c>
      <c r="AE37" t="n">
        <v>1613594.50903553</v>
      </c>
      <c r="AF37" t="n">
        <v>7462425.67958763</v>
      </c>
      <c r="AG37" t="n">
        <v>0</v>
      </c>
      <c r="AH37" t="n">
        <v>132992.681765037</v>
      </c>
      <c r="AI37" t="n">
        <v>0</v>
      </c>
      <c r="AJ37" t="n">
        <v>22020161.0859702</v>
      </c>
      <c r="AK37" t="n">
        <v>9032.68551236749</v>
      </c>
      <c r="AL37" t="n">
        <v>2148.60315094194</v>
      </c>
      <c r="AM37" t="n">
        <v>67124.4957052488</v>
      </c>
      <c r="AN37" t="n">
        <v>352171.187133706</v>
      </c>
      <c r="AO37" t="n">
        <v>65494.7970258062</v>
      </c>
      <c r="AP37" t="n">
        <v>37315.4892992246</v>
      </c>
      <c r="AQ37" t="n">
        <v>199117.569068264</v>
      </c>
      <c r="AR37" t="n">
        <v>21165.1407442548</v>
      </c>
      <c r="AS37" t="n">
        <v>219325.5135531</v>
      </c>
      <c r="AT37" t="n">
        <v>11780.8120990574</v>
      </c>
      <c r="AU37" t="n">
        <v>64128.9078028562</v>
      </c>
      <c r="AV37" t="n">
        <v>0</v>
      </c>
      <c r="AW37" t="n">
        <v>435314.526071575</v>
      </c>
      <c r="AX37" t="n">
        <v>768695.423575011</v>
      </c>
      <c r="AY37" t="n">
        <v>2354615.69911746</v>
      </c>
      <c r="AZ37" t="n">
        <v>0</v>
      </c>
      <c r="BA37" t="n">
        <v>80926.5117491309</v>
      </c>
      <c r="BB37" t="n">
        <v>1498904.94597876</v>
      </c>
      <c r="BC37" t="n">
        <v>0</v>
      </c>
      <c r="BD37" t="n">
        <v>14434953.9468303</v>
      </c>
      <c r="BE37" t="n">
        <v>479140.147937602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10810.6954002946</v>
      </c>
      <c r="BL37" t="n">
        <v>63889.7802436676</v>
      </c>
      <c r="BM37" t="n">
        <v>134956.19954737</v>
      </c>
      <c r="BN37" t="n">
        <v>866847.619863642</v>
      </c>
      <c r="BO37" t="n">
        <v>21034756.3323456</v>
      </c>
      <c r="BP37" t="n">
        <v>0</v>
      </c>
      <c r="BQ37" t="n">
        <v>0</v>
      </c>
      <c r="BR37" t="n">
        <v>0</v>
      </c>
      <c r="BS37" t="n">
        <v>0</v>
      </c>
      <c r="BT37" t="n">
        <v>14406.1431124901</v>
      </c>
      <c r="BU37" t="n">
        <v>2274508198.66161</v>
      </c>
      <c r="BV37" t="n">
        <v>0</v>
      </c>
      <c r="BW37" t="n">
        <v>241751199.360449</v>
      </c>
      <c r="BX37" t="n">
        <v>0</v>
      </c>
      <c r="BY37" t="n">
        <v>52081.0166274341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492783.168810174</v>
      </c>
      <c r="C38" t="n">
        <v>0</v>
      </c>
      <c r="D38" t="n">
        <v>1114.62203609099</v>
      </c>
      <c r="E38" t="n">
        <v>0</v>
      </c>
      <c r="F38" t="n">
        <v>0</v>
      </c>
      <c r="G38" t="n">
        <v>859010.965154159</v>
      </c>
      <c r="H38" t="n">
        <v>1151216.26428839</v>
      </c>
      <c r="I38" t="n">
        <v>0</v>
      </c>
      <c r="J38" t="n">
        <v>12574.5653009903</v>
      </c>
      <c r="K38" t="n">
        <v>0</v>
      </c>
      <c r="L38" t="n">
        <v>22689.3984719318</v>
      </c>
      <c r="M38" t="n">
        <v>138864.384674566</v>
      </c>
      <c r="N38" t="n">
        <v>879.103547412805</v>
      </c>
      <c r="O38" t="n">
        <v>18910.6405644528</v>
      </c>
      <c r="P38" t="n">
        <v>24926.5865043978</v>
      </c>
      <c r="Q38" t="n">
        <v>0</v>
      </c>
      <c r="R38" t="n">
        <v>39445.1026872632</v>
      </c>
      <c r="S38" t="n">
        <v>26319.993005832</v>
      </c>
      <c r="T38" t="n">
        <v>230061.549855067</v>
      </c>
      <c r="U38" t="n">
        <v>0</v>
      </c>
      <c r="V38" t="n">
        <v>0</v>
      </c>
      <c r="W38" t="n">
        <v>24534.4090831299</v>
      </c>
      <c r="X38" t="n">
        <v>123434.187706617</v>
      </c>
      <c r="Y38" t="n">
        <v>12271.6333577644</v>
      </c>
      <c r="Z38" t="n">
        <v>167068.3320334</v>
      </c>
      <c r="AA38" t="n">
        <v>15361.8471478684</v>
      </c>
      <c r="AB38" t="n">
        <v>64124.3931177865</v>
      </c>
      <c r="AC38" t="n">
        <v>98686.0751567347</v>
      </c>
      <c r="AD38" t="n">
        <v>151896.121261384</v>
      </c>
      <c r="AE38" t="n">
        <v>128516.376825839</v>
      </c>
      <c r="AF38" t="n">
        <v>269232.61275375</v>
      </c>
      <c r="AG38" t="n">
        <v>0</v>
      </c>
      <c r="AH38" t="n">
        <v>66496.3408825185</v>
      </c>
      <c r="AI38" t="n">
        <v>0</v>
      </c>
      <c r="AJ38" t="n">
        <v>3681770.93357421</v>
      </c>
      <c r="AK38" t="n">
        <v>42152.5323910483</v>
      </c>
      <c r="AL38" t="n">
        <v>0</v>
      </c>
      <c r="AM38" t="n">
        <v>207475.713998042</v>
      </c>
      <c r="AN38" t="n">
        <v>0</v>
      </c>
      <c r="AO38" t="n">
        <v>1336.62851073074</v>
      </c>
      <c r="AP38" t="n">
        <v>0</v>
      </c>
      <c r="AQ38" t="n">
        <v>0</v>
      </c>
      <c r="AR38" t="n">
        <v>3527.52345737581</v>
      </c>
      <c r="AS38" t="n">
        <v>19938.6830502818</v>
      </c>
      <c r="AT38" t="n">
        <v>5048.91947102462</v>
      </c>
      <c r="AU38" t="n">
        <v>4580.63627163259</v>
      </c>
      <c r="AV38" t="n">
        <v>0</v>
      </c>
      <c r="AW38" t="n">
        <v>342975.081147301</v>
      </c>
      <c r="AX38" t="n">
        <v>67375.6944966145</v>
      </c>
      <c r="AY38" t="n">
        <v>12569.1229490256</v>
      </c>
      <c r="AZ38" t="n">
        <v>0</v>
      </c>
      <c r="BA38" t="n">
        <v>3237.06046996524</v>
      </c>
      <c r="BB38" t="n">
        <v>15049.2464455699</v>
      </c>
      <c r="BC38" t="n">
        <v>0</v>
      </c>
      <c r="BD38" t="n">
        <v>407460.122699387</v>
      </c>
      <c r="BE38" t="n">
        <v>0</v>
      </c>
      <c r="BF38" t="n">
        <v>29772.5683460424</v>
      </c>
      <c r="BG38" t="n">
        <v>15057.0107307559</v>
      </c>
      <c r="BH38" t="n">
        <v>33762.7530611156</v>
      </c>
      <c r="BI38" t="n">
        <v>7882.32623827297</v>
      </c>
      <c r="BJ38" t="n">
        <v>8391.87496596417</v>
      </c>
      <c r="BK38" t="n">
        <v>17297.1126404714</v>
      </c>
      <c r="BL38" t="n">
        <v>60340.3480079083</v>
      </c>
      <c r="BM38" t="n">
        <v>151314.526765233</v>
      </c>
      <c r="BN38" t="n">
        <v>8923826.66030168</v>
      </c>
      <c r="BO38" t="n">
        <v>177797.030117356</v>
      </c>
      <c r="BP38" t="n">
        <v>0</v>
      </c>
      <c r="BQ38" t="n">
        <v>0</v>
      </c>
      <c r="BR38" t="n">
        <v>0</v>
      </c>
      <c r="BS38" t="n">
        <v>161292.26135131</v>
      </c>
      <c r="BT38" t="n">
        <v>0</v>
      </c>
      <c r="BU38" t="n">
        <v>1856760844.16835</v>
      </c>
      <c r="BV38" t="n">
        <v>0</v>
      </c>
      <c r="BW38" t="n">
        <v>1639234.93359735</v>
      </c>
      <c r="BX38" t="n">
        <v>6945.91073558201</v>
      </c>
      <c r="BY38" t="n">
        <v>60083.5143568053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18245.5771138762</v>
      </c>
      <c r="C39" t="n">
        <v>0</v>
      </c>
      <c r="D39" t="n">
        <v>156.323919957714</v>
      </c>
      <c r="E39" t="n">
        <v>535.813231341538</v>
      </c>
      <c r="F39" t="n">
        <v>411.296697873394</v>
      </c>
      <c r="G39" t="n">
        <v>30639.2916821084</v>
      </c>
      <c r="H39" t="n">
        <v>120126.503384209</v>
      </c>
      <c r="I39" t="n">
        <v>5493.54345000953</v>
      </c>
      <c r="J39" t="n">
        <v>969.959234414446</v>
      </c>
      <c r="K39" t="n">
        <v>1668.37370733326</v>
      </c>
      <c r="L39" t="n">
        <v>3500.36618274605</v>
      </c>
      <c r="M39" t="n">
        <v>18566.6463191373</v>
      </c>
      <c r="N39" t="n">
        <v>147.951403934832</v>
      </c>
      <c r="O39" t="n">
        <v>1458.70254797109</v>
      </c>
      <c r="P39" t="n">
        <v>7385.1163024786</v>
      </c>
      <c r="Q39" t="n">
        <v>1698.64871587168</v>
      </c>
      <c r="R39" t="n">
        <v>3429.90895822968</v>
      </c>
      <c r="S39" t="n">
        <v>2181.24401681366</v>
      </c>
      <c r="T39" t="n">
        <v>28347.771860055</v>
      </c>
      <c r="U39" t="n">
        <v>128.912788344157</v>
      </c>
      <c r="V39" t="n">
        <v>0</v>
      </c>
      <c r="W39" t="n">
        <v>5849.54835972172</v>
      </c>
      <c r="X39" t="n">
        <v>5811.69879213667</v>
      </c>
      <c r="Y39" t="n">
        <v>344.215306831234</v>
      </c>
      <c r="Z39" t="n">
        <v>6753.65866693602</v>
      </c>
      <c r="AA39" t="n">
        <v>2585.36876486083</v>
      </c>
      <c r="AB39" t="n">
        <v>3372.50302316725</v>
      </c>
      <c r="AC39" t="n">
        <v>11072.4486789048</v>
      </c>
      <c r="AD39" t="n">
        <v>4454.30187960398</v>
      </c>
      <c r="AE39" t="n">
        <v>2202.9592363084</v>
      </c>
      <c r="AF39" t="n">
        <v>9521.94427119957</v>
      </c>
      <c r="AG39" t="n">
        <v>0</v>
      </c>
      <c r="AH39" t="n">
        <v>2797.80095844556</v>
      </c>
      <c r="AI39" t="n">
        <v>5.60306638977351</v>
      </c>
      <c r="AJ39" t="n">
        <v>146755.618018249</v>
      </c>
      <c r="AK39" t="n">
        <v>1520.1832671357</v>
      </c>
      <c r="AL39" t="n">
        <v>30.1338082428977</v>
      </c>
      <c r="AM39" t="n">
        <v>7702.44617674589</v>
      </c>
      <c r="AN39" t="n">
        <v>189.967052943361</v>
      </c>
      <c r="AO39" t="n">
        <v>93.7299827022323</v>
      </c>
      <c r="AP39" t="n">
        <v>28.2888455337933</v>
      </c>
      <c r="AQ39" t="n">
        <v>116.357974277857</v>
      </c>
      <c r="AR39" t="n">
        <v>123.682350775532</v>
      </c>
      <c r="AS39" t="n">
        <v>1048.63789886531</v>
      </c>
      <c r="AT39" t="n">
        <v>188.827389065297</v>
      </c>
      <c r="AU39" t="n">
        <v>192.728026549703</v>
      </c>
      <c r="AV39" t="n">
        <v>0</v>
      </c>
      <c r="AW39" t="n">
        <v>24975.8800553623</v>
      </c>
      <c r="AX39" t="n">
        <v>6743.38628705153</v>
      </c>
      <c r="AY39" t="n">
        <v>2761.71837601884</v>
      </c>
      <c r="AZ39" t="n">
        <v>40.0770386683128</v>
      </c>
      <c r="BA39" t="n">
        <v>181.596977421975</v>
      </c>
      <c r="BB39" t="n">
        <v>1604.08049694053</v>
      </c>
      <c r="BC39" t="n">
        <v>0</v>
      </c>
      <c r="BD39" t="n">
        <v>24991.6830238482</v>
      </c>
      <c r="BE39" t="n">
        <v>310.147491365311</v>
      </c>
      <c r="BF39" t="n">
        <v>2366.14731230741</v>
      </c>
      <c r="BG39" t="n">
        <v>1055.86058056589</v>
      </c>
      <c r="BH39" t="n">
        <v>757.627355093427</v>
      </c>
      <c r="BI39" t="n">
        <v>110.548338006462</v>
      </c>
      <c r="BJ39" t="n">
        <v>353.084027050612</v>
      </c>
      <c r="BK39" t="n">
        <v>121.294589751314</v>
      </c>
      <c r="BL39" t="n">
        <v>348.461451439502</v>
      </c>
      <c r="BM39" t="n">
        <v>3498.69872617413</v>
      </c>
      <c r="BN39" t="n">
        <v>27613.3109287725</v>
      </c>
      <c r="BO39" t="n">
        <v>24648.0229511443</v>
      </c>
      <c r="BP39" t="n">
        <v>0</v>
      </c>
      <c r="BQ39" t="n">
        <v>231.948915313949</v>
      </c>
      <c r="BR39" t="n">
        <v>0</v>
      </c>
      <c r="BS39" t="n">
        <v>2488.30738228335</v>
      </c>
      <c r="BT39" t="n">
        <v>0</v>
      </c>
      <c r="BU39" t="n">
        <v>19418393.3175506</v>
      </c>
      <c r="BV39" t="n">
        <v>0</v>
      </c>
      <c r="BW39" t="n">
        <v>389844.081366194</v>
      </c>
      <c r="BX39" t="n">
        <v>104443.595966422</v>
      </c>
      <c r="BY39" t="n">
        <v>15993.0814454353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15167836.9447895</v>
      </c>
      <c r="C40" t="n">
        <v>174104.272457426</v>
      </c>
      <c r="D40" t="n">
        <v>68827.7791739963</v>
      </c>
      <c r="E40" t="n">
        <v>668852.057424488</v>
      </c>
      <c r="F40" t="n">
        <v>79599.8302512601</v>
      </c>
      <c r="G40" t="n">
        <v>28018020.7609376</v>
      </c>
      <c r="H40" t="n">
        <v>412202661.163432</v>
      </c>
      <c r="I40" t="n">
        <v>8930767.20095526</v>
      </c>
      <c r="J40" t="n">
        <v>101539.420727171</v>
      </c>
      <c r="K40" t="n">
        <v>536799.261638378</v>
      </c>
      <c r="L40" t="n">
        <v>1487287.22709471</v>
      </c>
      <c r="M40" t="n">
        <v>9559868.84993426</v>
      </c>
      <c r="N40" t="n">
        <v>75998.3564136644</v>
      </c>
      <c r="O40" t="n">
        <v>1149764.74870508</v>
      </c>
      <c r="P40" t="n">
        <v>2504182.41030549</v>
      </c>
      <c r="Q40" t="n">
        <v>345183.313277182</v>
      </c>
      <c r="R40" t="n">
        <v>2458214.10093963</v>
      </c>
      <c r="S40" t="n">
        <v>1554790.79688961</v>
      </c>
      <c r="T40" t="n">
        <v>15502010.5883563</v>
      </c>
      <c r="U40" t="n">
        <v>125160.752682226</v>
      </c>
      <c r="V40" t="n">
        <v>5718.35896669618</v>
      </c>
      <c r="W40" t="n">
        <v>2214226.18757045</v>
      </c>
      <c r="X40" t="n">
        <v>7169749.25624817</v>
      </c>
      <c r="Y40" t="n">
        <v>851036.146725025</v>
      </c>
      <c r="Z40" t="n">
        <v>10098606.1994236</v>
      </c>
      <c r="AA40" t="n">
        <v>1473966.41655841</v>
      </c>
      <c r="AB40" t="n">
        <v>4256649.23466356</v>
      </c>
      <c r="AC40" t="n">
        <v>9562662.40500296</v>
      </c>
      <c r="AD40" t="n">
        <v>2125160.76188373</v>
      </c>
      <c r="AE40" t="n">
        <v>7338985.06918858</v>
      </c>
      <c r="AF40" t="n">
        <v>7884403.46573606</v>
      </c>
      <c r="AG40" t="n">
        <v>4610.7536150101</v>
      </c>
      <c r="AH40" t="n">
        <v>2242584.80987739</v>
      </c>
      <c r="AI40" t="n">
        <v>177242.395938369</v>
      </c>
      <c r="AJ40" t="n">
        <v>129179706.892332</v>
      </c>
      <c r="AK40" t="n">
        <v>1291445.74271379</v>
      </c>
      <c r="AL40" t="n">
        <v>28576.3672878197</v>
      </c>
      <c r="AM40" t="n">
        <v>8869569.82048068</v>
      </c>
      <c r="AN40" t="n">
        <v>51471.075124434</v>
      </c>
      <c r="AO40" t="n">
        <v>79997.0634640958</v>
      </c>
      <c r="AP40" t="n">
        <v>14371.47854483</v>
      </c>
      <c r="AQ40" t="n">
        <v>42035.850902126</v>
      </c>
      <c r="AR40" t="n">
        <v>157503.621325803</v>
      </c>
      <c r="AS40" t="n">
        <v>1207534.18420088</v>
      </c>
      <c r="AT40" t="n">
        <v>241422.037928547</v>
      </c>
      <c r="AU40" t="n">
        <v>230634.5954511</v>
      </c>
      <c r="AV40" t="n">
        <v>0</v>
      </c>
      <c r="AW40" t="n">
        <v>19731252.7481425</v>
      </c>
      <c r="AX40" t="n">
        <v>3403997.33160077</v>
      </c>
      <c r="AY40" t="n">
        <v>656735.418829173</v>
      </c>
      <c r="AZ40" t="n">
        <v>59723.2272573147</v>
      </c>
      <c r="BA40" t="n">
        <v>166060.884707184</v>
      </c>
      <c r="BB40" t="n">
        <v>1015069.73259062</v>
      </c>
      <c r="BC40" t="n">
        <v>0</v>
      </c>
      <c r="BD40" t="n">
        <v>7803661.35433721</v>
      </c>
      <c r="BE40" t="n">
        <v>154061.691561906</v>
      </c>
      <c r="BF40" t="n">
        <v>408545.018094335</v>
      </c>
      <c r="BG40" t="n">
        <v>2081251.33023945</v>
      </c>
      <c r="BH40" t="n">
        <v>981481.355523022</v>
      </c>
      <c r="BI40" t="n">
        <v>561614.671029472</v>
      </c>
      <c r="BJ40" t="n">
        <v>446446.894868827</v>
      </c>
      <c r="BK40" t="n">
        <v>636748.742021664</v>
      </c>
      <c r="BL40" t="n">
        <v>1129604.64994994</v>
      </c>
      <c r="BM40" t="n">
        <v>4541676.39217359</v>
      </c>
      <c r="BN40" t="n">
        <v>36029881.274916</v>
      </c>
      <c r="BO40" t="n">
        <v>13616491.1420563</v>
      </c>
      <c r="BP40" t="n">
        <v>5101.88181092794</v>
      </c>
      <c r="BQ40" t="n">
        <v>240909.477708607</v>
      </c>
      <c r="BR40" t="n">
        <v>9594.85247558132</v>
      </c>
      <c r="BS40" t="n">
        <v>2811721.97179551</v>
      </c>
      <c r="BT40" t="n">
        <v>0</v>
      </c>
      <c r="BU40" t="n">
        <v>5272430992.03476</v>
      </c>
      <c r="BV40" t="n">
        <v>0</v>
      </c>
      <c r="BW40" t="n">
        <v>190734374.130861</v>
      </c>
      <c r="BX40" t="n">
        <v>66530242.1135161</v>
      </c>
      <c r="BY40" t="n">
        <v>42260977.8629188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738448.549781863</v>
      </c>
      <c r="C41" t="n">
        <v>5883.28899614016</v>
      </c>
      <c r="D41" t="n">
        <v>5152.56697418942</v>
      </c>
      <c r="E41" t="n">
        <v>25229.7880753074</v>
      </c>
      <c r="F41" t="n">
        <v>259029.473111811</v>
      </c>
      <c r="G41" t="n">
        <v>1846574.77318385</v>
      </c>
      <c r="H41" t="n">
        <v>565486.991168069</v>
      </c>
      <c r="I41" t="n">
        <v>575280.13657957</v>
      </c>
      <c r="J41" t="n">
        <v>360881.00869722</v>
      </c>
      <c r="K41" t="n">
        <v>1105548.04688291</v>
      </c>
      <c r="L41" t="n">
        <v>946162.348943407</v>
      </c>
      <c r="M41" t="n">
        <v>602699.865187832</v>
      </c>
      <c r="N41" t="n">
        <v>15070.0543367149</v>
      </c>
      <c r="O41" t="n">
        <v>96524.3516139358</v>
      </c>
      <c r="P41" t="n">
        <v>252061.717924873</v>
      </c>
      <c r="Q41" t="n">
        <v>191540.906981249</v>
      </c>
      <c r="R41" t="n">
        <v>154991.55569881</v>
      </c>
      <c r="S41" t="n">
        <v>76043.4492206625</v>
      </c>
      <c r="T41" t="n">
        <v>2813860.3862592</v>
      </c>
      <c r="U41" t="n">
        <v>25376.4092728058</v>
      </c>
      <c r="V41" t="n">
        <v>5797.0016318186</v>
      </c>
      <c r="W41" t="n">
        <v>817535.244578848</v>
      </c>
      <c r="X41" t="n">
        <v>270015.895354176</v>
      </c>
      <c r="Y41" t="n">
        <v>92183.1952049271</v>
      </c>
      <c r="Z41" t="n">
        <v>289615.249226264</v>
      </c>
      <c r="AA41" t="n">
        <v>1213143.21965289</v>
      </c>
      <c r="AB41" t="n">
        <v>12482399.6751689</v>
      </c>
      <c r="AC41" t="n">
        <v>333507.250404969</v>
      </c>
      <c r="AD41" t="n">
        <v>86441.4690373199</v>
      </c>
      <c r="AE41" t="n">
        <v>211783.181430024</v>
      </c>
      <c r="AF41" t="n">
        <v>430643.578893727</v>
      </c>
      <c r="AG41" t="n">
        <v>75534.486308824</v>
      </c>
      <c r="AH41" t="n">
        <v>38424.1068767701</v>
      </c>
      <c r="AI41" t="n">
        <v>18237.3226416167</v>
      </c>
      <c r="AJ41" t="n">
        <v>10121584.6371696</v>
      </c>
      <c r="AK41" t="n">
        <v>17398.0938352005</v>
      </c>
      <c r="AL41" t="n">
        <v>3310.78496498192</v>
      </c>
      <c r="AM41" t="n">
        <v>1645512.42328864</v>
      </c>
      <c r="AN41" t="n">
        <v>558314.652510185</v>
      </c>
      <c r="AO41" t="n">
        <v>114051.033679311</v>
      </c>
      <c r="AP41" t="n">
        <v>65269.6784294803</v>
      </c>
      <c r="AQ41" t="n">
        <v>276458.038274264</v>
      </c>
      <c r="AR41" t="n">
        <v>587040.996885598</v>
      </c>
      <c r="AS41" t="n">
        <v>5394861.37405311</v>
      </c>
      <c r="AT41" t="n">
        <v>1081728.25770793</v>
      </c>
      <c r="AU41" t="n">
        <v>89993.4204075446</v>
      </c>
      <c r="AV41" t="n">
        <v>253941.379764328</v>
      </c>
      <c r="AW41" t="n">
        <v>8892.87203281454</v>
      </c>
      <c r="AX41" t="n">
        <v>6528817.11770967</v>
      </c>
      <c r="AY41" t="n">
        <v>1212906.93534217</v>
      </c>
      <c r="AZ41" t="n">
        <v>399594.232547773</v>
      </c>
      <c r="BA41" t="n">
        <v>1891695.22582727</v>
      </c>
      <c r="BB41" t="n">
        <v>2927082.0712711</v>
      </c>
      <c r="BC41" t="n">
        <v>1099751.23868056</v>
      </c>
      <c r="BD41" t="n">
        <v>5254106.22179808</v>
      </c>
      <c r="BE41" t="n">
        <v>729788.648757871</v>
      </c>
      <c r="BF41" t="n">
        <v>442836.464769654</v>
      </c>
      <c r="BG41" t="n">
        <v>4067489.20363407</v>
      </c>
      <c r="BH41" t="n">
        <v>598288.229431548</v>
      </c>
      <c r="BI41" t="n">
        <v>502535.999900772</v>
      </c>
      <c r="BJ41" t="n">
        <v>1155712.53927212</v>
      </c>
      <c r="BK41" t="n">
        <v>62468.2967453826</v>
      </c>
      <c r="BL41" t="n">
        <v>155875.735332435</v>
      </c>
      <c r="BM41" t="n">
        <v>164630.374074593</v>
      </c>
      <c r="BN41" t="n">
        <v>2208090.43571872</v>
      </c>
      <c r="BO41" t="n">
        <v>796877.029226736</v>
      </c>
      <c r="BP41" t="n">
        <v>5961817.73927369</v>
      </c>
      <c r="BQ41" t="n">
        <v>4202752.81855552</v>
      </c>
      <c r="BR41" t="n">
        <v>419225.392494904</v>
      </c>
      <c r="BS41" t="n">
        <v>6266199.3626124</v>
      </c>
      <c r="BT41" t="n">
        <v>80469.3515633465</v>
      </c>
      <c r="BU41" t="n">
        <v>119057702.592892</v>
      </c>
      <c r="BV41" t="n">
        <v>0</v>
      </c>
      <c r="BW41" t="n">
        <v>146790.21822113</v>
      </c>
      <c r="BX41" t="n">
        <v>17599.8475928396</v>
      </c>
      <c r="BY41" t="n">
        <v>7338.765040206</v>
      </c>
      <c r="BZ41" t="n">
        <v>26245.8135068922</v>
      </c>
      <c r="CA41" t="n">
        <v>45245838.3515483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43161.8413358467</v>
      </c>
      <c r="CN41" t="n">
        <v>12331.9546673848</v>
      </c>
    </row>
    <row r="42">
      <c r="A42" t="s">
        <v>153</v>
      </c>
      <c r="B42" t="n">
        <v>19590472.6866736</v>
      </c>
      <c r="C42" t="n">
        <v>287634.193299941</v>
      </c>
      <c r="D42" t="n">
        <v>404978.977382883</v>
      </c>
      <c r="E42" t="n">
        <v>3927451.05157954</v>
      </c>
      <c r="F42" t="n">
        <v>769305.950578456</v>
      </c>
      <c r="G42" t="n">
        <v>20788827.0550915</v>
      </c>
      <c r="H42" t="n">
        <v>10750044.9296007</v>
      </c>
      <c r="I42" t="n">
        <v>18058700.1242362</v>
      </c>
      <c r="J42" t="n">
        <v>10469651.5562804</v>
      </c>
      <c r="K42" t="n">
        <v>68916441.4397666</v>
      </c>
      <c r="L42" t="n">
        <v>9686028.566345</v>
      </c>
      <c r="M42" t="n">
        <v>4329818.96489861</v>
      </c>
      <c r="N42" t="n">
        <v>57948.6312266235</v>
      </c>
      <c r="O42" t="n">
        <v>2010802.41816921</v>
      </c>
      <c r="P42" t="n">
        <v>3127283.33469714</v>
      </c>
      <c r="Q42" t="n">
        <v>1450688.01685137</v>
      </c>
      <c r="R42" t="n">
        <v>1702470.69115405</v>
      </c>
      <c r="S42" t="n">
        <v>490069.252554086</v>
      </c>
      <c r="T42" t="n">
        <v>83395521.7310838</v>
      </c>
      <c r="U42" t="n">
        <v>185136.276210126</v>
      </c>
      <c r="V42" t="n">
        <v>9447.1867069623</v>
      </c>
      <c r="W42" t="n">
        <v>48556183.9657035</v>
      </c>
      <c r="X42" t="n">
        <v>726474.860711733</v>
      </c>
      <c r="Y42" t="n">
        <v>9083496.40690428</v>
      </c>
      <c r="Z42" t="n">
        <v>12239001.9984365</v>
      </c>
      <c r="AA42" t="n">
        <v>21879829.4524257</v>
      </c>
      <c r="AB42" t="n">
        <v>1981379.65037095</v>
      </c>
      <c r="AC42" t="n">
        <v>232327.701217037</v>
      </c>
      <c r="AD42" t="n">
        <v>623082.720137431</v>
      </c>
      <c r="AE42" t="n">
        <v>425817.419781837</v>
      </c>
      <c r="AF42" t="n">
        <v>537377.600079959</v>
      </c>
      <c r="AG42" t="n">
        <v>128732.944835196</v>
      </c>
      <c r="AH42" t="n">
        <v>3170063.00371037</v>
      </c>
      <c r="AI42" t="n">
        <v>8151.26791869689</v>
      </c>
      <c r="AJ42" t="n">
        <v>61295703.097871</v>
      </c>
      <c r="AK42" t="n">
        <v>37804.1503166586</v>
      </c>
      <c r="AL42" t="n">
        <v>15174.7862125397</v>
      </c>
      <c r="AM42" t="n">
        <v>1259412.39377906</v>
      </c>
      <c r="AN42" t="n">
        <v>212585.839547928</v>
      </c>
      <c r="AO42" t="n">
        <v>33564.838541989</v>
      </c>
      <c r="AP42" t="n">
        <v>6331.42209079396</v>
      </c>
      <c r="AQ42" t="n">
        <v>690125.490254601</v>
      </c>
      <c r="AR42" t="n">
        <v>74740.7649038346</v>
      </c>
      <c r="AS42" t="n">
        <v>273815.722710202</v>
      </c>
      <c r="AT42" t="n">
        <v>59431.0723407587</v>
      </c>
      <c r="AU42" t="n">
        <v>488864.588388665</v>
      </c>
      <c r="AV42" t="n">
        <v>10284.2962577531</v>
      </c>
      <c r="AW42" t="n">
        <v>295024.404984617</v>
      </c>
      <c r="AX42" t="n">
        <v>754630.033480727</v>
      </c>
      <c r="AY42" t="n">
        <v>249874.061279885</v>
      </c>
      <c r="AZ42" t="n">
        <v>82970.4411517652</v>
      </c>
      <c r="BA42" t="n">
        <v>111770.540830939</v>
      </c>
      <c r="BB42" t="n">
        <v>1762006.23532174</v>
      </c>
      <c r="BC42" t="n">
        <v>390558.409505121</v>
      </c>
      <c r="BD42" t="n">
        <v>2660310.33412495</v>
      </c>
      <c r="BE42" t="n">
        <v>323937.403318498</v>
      </c>
      <c r="BF42" t="n">
        <v>176525.141276619</v>
      </c>
      <c r="BG42" t="n">
        <v>2439959.84707021</v>
      </c>
      <c r="BH42" t="n">
        <v>1192268.93859992</v>
      </c>
      <c r="BI42" t="n">
        <v>525771.686441541</v>
      </c>
      <c r="BJ42" t="n">
        <v>1626596.45450402</v>
      </c>
      <c r="BK42" t="n">
        <v>28844.0614123279</v>
      </c>
      <c r="BL42" t="n">
        <v>236756.373193966</v>
      </c>
      <c r="BM42" t="n">
        <v>462131.163155029</v>
      </c>
      <c r="BN42" t="n">
        <v>4946292.01985068</v>
      </c>
      <c r="BO42" t="n">
        <v>928370.049491551</v>
      </c>
      <c r="BP42" t="n">
        <v>739619.925803683</v>
      </c>
      <c r="BQ42" t="n">
        <v>4827934.14343509</v>
      </c>
      <c r="BR42" t="n">
        <v>3978717.52821275</v>
      </c>
      <c r="BS42" t="n">
        <v>14789929.7496305</v>
      </c>
      <c r="BT42" t="n">
        <v>7977580.43415603</v>
      </c>
      <c r="BU42" t="n">
        <v>31872730.6547996</v>
      </c>
      <c r="BV42" t="n">
        <v>0</v>
      </c>
      <c r="BW42" t="n">
        <v>49947258.6893942</v>
      </c>
      <c r="BX42" t="n">
        <v>0</v>
      </c>
      <c r="BY42" t="n">
        <v>145759.43897012</v>
      </c>
      <c r="BZ42" t="n">
        <v>9697545.40375514</v>
      </c>
      <c r="CA42" t="n">
        <v>206023023.671901</v>
      </c>
      <c r="CB42" t="n">
        <v>0</v>
      </c>
      <c r="CC42" t="n">
        <v>0</v>
      </c>
      <c r="CD42" t="n">
        <v>0</v>
      </c>
      <c r="CE42" t="n">
        <v>2108017.70735966</v>
      </c>
      <c r="CF42" t="n">
        <v>0</v>
      </c>
      <c r="CG42" t="n">
        <v>0</v>
      </c>
      <c r="CH42" t="n">
        <v>0</v>
      </c>
      <c r="CI42" t="n">
        <v>3092785.10349848</v>
      </c>
      <c r="CJ42" t="n">
        <v>0</v>
      </c>
      <c r="CK42" t="n">
        <v>0</v>
      </c>
      <c r="CL42" t="n">
        <v>0</v>
      </c>
      <c r="CM42" t="n">
        <v>3210493.99762596</v>
      </c>
      <c r="CN42" t="n">
        <v>0</v>
      </c>
    </row>
    <row r="43">
      <c r="A43" t="s">
        <v>154</v>
      </c>
      <c r="B43" t="n">
        <v>483210.161171274</v>
      </c>
      <c r="C43" t="n">
        <v>10454.2039664268</v>
      </c>
      <c r="D43" t="n">
        <v>22507.911687927</v>
      </c>
      <c r="E43" t="n">
        <v>90130.2271378515</v>
      </c>
      <c r="F43" t="n">
        <v>31187.042927185</v>
      </c>
      <c r="G43" t="n">
        <v>227762.90054337</v>
      </c>
      <c r="H43" t="n">
        <v>480264.393207688</v>
      </c>
      <c r="I43" t="n">
        <v>16757.9284129665</v>
      </c>
      <c r="J43" t="n">
        <v>161391.186465879</v>
      </c>
      <c r="K43" t="n">
        <v>1056037.17111857</v>
      </c>
      <c r="L43" t="n">
        <v>123279.902510906</v>
      </c>
      <c r="M43" t="n">
        <v>45943.4054666458</v>
      </c>
      <c r="N43" t="n">
        <v>1278.74670787302</v>
      </c>
      <c r="O43" t="n">
        <v>44497.3869728269</v>
      </c>
      <c r="P43" t="n">
        <v>18928.9596676443</v>
      </c>
      <c r="Q43" t="n">
        <v>11999.7008056071</v>
      </c>
      <c r="R43" t="n">
        <v>8100.2776898722</v>
      </c>
      <c r="S43" t="n">
        <v>10646.1358262049</v>
      </c>
      <c r="T43" t="n">
        <v>1268288.68447205</v>
      </c>
      <c r="U43" t="n">
        <v>7340.58279516465</v>
      </c>
      <c r="V43" t="n">
        <v>0</v>
      </c>
      <c r="W43" t="n">
        <v>291800.46344752</v>
      </c>
      <c r="X43" t="n">
        <v>754.402297607851</v>
      </c>
      <c r="Y43" t="n">
        <v>40950.8153339698</v>
      </c>
      <c r="Z43" t="n">
        <v>202935.535365493</v>
      </c>
      <c r="AA43" t="n">
        <v>182706.422721232</v>
      </c>
      <c r="AB43" t="n">
        <v>16460.3891092266</v>
      </c>
      <c r="AC43" t="n">
        <v>9211.70481174806</v>
      </c>
      <c r="AD43" t="n">
        <v>8861.57335829225</v>
      </c>
      <c r="AE43" t="n">
        <v>6109.16060986853</v>
      </c>
      <c r="AF43" t="n">
        <v>10516.826362094</v>
      </c>
      <c r="AG43" t="n">
        <v>1744.19085594161</v>
      </c>
      <c r="AH43" t="n">
        <v>15646.8174752813</v>
      </c>
      <c r="AI43" t="n">
        <v>102.55215378638</v>
      </c>
      <c r="AJ43" t="n">
        <v>27131.7969664718</v>
      </c>
      <c r="AK43" t="n">
        <v>257.626901238898</v>
      </c>
      <c r="AL43" t="n">
        <v>919.224915466288</v>
      </c>
      <c r="AM43" t="n">
        <v>4699.22711303616</v>
      </c>
      <c r="AN43" t="n">
        <v>2317.96056808582</v>
      </c>
      <c r="AO43" t="n">
        <v>228.73693157299</v>
      </c>
      <c r="AP43" t="n">
        <v>0</v>
      </c>
      <c r="AQ43" t="n">
        <v>4495.999567302</v>
      </c>
      <c r="AR43" t="n">
        <v>1660.07677850565</v>
      </c>
      <c r="AS43" t="n">
        <v>2132.56392104905</v>
      </c>
      <c r="AT43" t="n">
        <v>288.00681173807</v>
      </c>
      <c r="AU43" t="n">
        <v>0</v>
      </c>
      <c r="AV43" t="n">
        <v>224.27263496645</v>
      </c>
      <c r="AW43" t="n">
        <v>6207.93961344862</v>
      </c>
      <c r="AX43" t="n">
        <v>12316.122692407</v>
      </c>
      <c r="AY43" t="n">
        <v>3943.41041923355</v>
      </c>
      <c r="AZ43" t="n">
        <v>0</v>
      </c>
      <c r="BA43" t="n">
        <v>2215.82967375511</v>
      </c>
      <c r="BB43" t="n">
        <v>387851.340202264</v>
      </c>
      <c r="BC43" t="n">
        <v>126572.390229754</v>
      </c>
      <c r="BD43" t="n">
        <v>67404.272422113</v>
      </c>
      <c r="BE43" t="n">
        <v>10722.4419097276</v>
      </c>
      <c r="BF43" t="n">
        <v>96804.4835218708</v>
      </c>
      <c r="BG43" t="n">
        <v>106288.990717725</v>
      </c>
      <c r="BH43" t="n">
        <v>109778.432091238</v>
      </c>
      <c r="BI43" t="n">
        <v>6070.05309490488</v>
      </c>
      <c r="BJ43" t="n">
        <v>10770.7473380698</v>
      </c>
      <c r="BK43" t="n">
        <v>555.009549964278</v>
      </c>
      <c r="BL43" t="n">
        <v>3644.48116398467</v>
      </c>
      <c r="BM43" t="n">
        <v>3149.32139810836</v>
      </c>
      <c r="BN43" t="n">
        <v>37948.3206021086</v>
      </c>
      <c r="BO43" t="n">
        <v>22234.651441795</v>
      </c>
      <c r="BP43" t="n">
        <v>394037.288461155</v>
      </c>
      <c r="BQ43" t="n">
        <v>108963.447083795</v>
      </c>
      <c r="BR43" t="n">
        <v>397529.106783413</v>
      </c>
      <c r="BS43" t="n">
        <v>472682.671484042</v>
      </c>
      <c r="BT43" t="n">
        <v>103543.439097476</v>
      </c>
      <c r="BU43" t="n">
        <v>11050589.1671525</v>
      </c>
      <c r="BV43" t="n">
        <v>0</v>
      </c>
      <c r="BW43" t="n">
        <v>201.155911583251</v>
      </c>
      <c r="BX43" t="n">
        <v>0</v>
      </c>
      <c r="BY43" t="n">
        <v>0</v>
      </c>
      <c r="BZ43" t="n">
        <v>29151.3660340964</v>
      </c>
      <c r="CA43" t="n">
        <v>2870939.37103536</v>
      </c>
      <c r="CB43" t="n">
        <v>0</v>
      </c>
      <c r="CC43" t="n">
        <v>0</v>
      </c>
      <c r="CD43" t="n">
        <v>0</v>
      </c>
      <c r="CE43" t="n">
        <v>5033.22857245677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45687183.0243827</v>
      </c>
      <c r="C44" t="n">
        <v>2760944.886222</v>
      </c>
      <c r="D44" t="n">
        <v>637995.936921261</v>
      </c>
      <c r="E44" t="n">
        <v>3071169.8578445</v>
      </c>
      <c r="F44" t="n">
        <v>1610758.00834002</v>
      </c>
      <c r="G44" t="n">
        <v>8721881.70915602</v>
      </c>
      <c r="H44" t="n">
        <v>70015885.8120928</v>
      </c>
      <c r="I44" t="n">
        <v>29671240.4552696</v>
      </c>
      <c r="J44" t="n">
        <v>12371548.9980247</v>
      </c>
      <c r="K44" t="n">
        <v>114311889.132923</v>
      </c>
      <c r="L44" t="n">
        <v>25743177.1728921</v>
      </c>
      <c r="M44" t="n">
        <v>19805065.0617244</v>
      </c>
      <c r="N44" t="n">
        <v>581083.711632647</v>
      </c>
      <c r="O44" t="n">
        <v>7265900.74673824</v>
      </c>
      <c r="P44" t="n">
        <v>12119269.785721</v>
      </c>
      <c r="Q44" t="n">
        <v>6083390.92553105</v>
      </c>
      <c r="R44" t="n">
        <v>4977581.38851933</v>
      </c>
      <c r="S44" t="n">
        <v>1870361.01243186</v>
      </c>
      <c r="T44" t="n">
        <v>265870937.493502</v>
      </c>
      <c r="U44" t="n">
        <v>1304389.18632372</v>
      </c>
      <c r="V44" t="n">
        <v>447533.419689667</v>
      </c>
      <c r="W44" t="n">
        <v>44565900.7321413</v>
      </c>
      <c r="X44" t="n">
        <v>3322485.72992635</v>
      </c>
      <c r="Y44" t="n">
        <v>12617190.6984244</v>
      </c>
      <c r="Z44" t="n">
        <v>12835125.5001081</v>
      </c>
      <c r="AA44" t="n">
        <v>23413920.1671342</v>
      </c>
      <c r="AB44" t="n">
        <v>29989366.907035</v>
      </c>
      <c r="AC44" t="n">
        <v>10347975.101109</v>
      </c>
      <c r="AD44" t="n">
        <v>5309149.16574753</v>
      </c>
      <c r="AE44" t="n">
        <v>7918954.00471841</v>
      </c>
      <c r="AF44" t="n">
        <v>18372000.1821957</v>
      </c>
      <c r="AG44" t="n">
        <v>979730.803739959</v>
      </c>
      <c r="AH44" t="n">
        <v>3716432.53745194</v>
      </c>
      <c r="AI44" t="n">
        <v>48217.0103944246</v>
      </c>
      <c r="AJ44" t="n">
        <v>99002496.7779602</v>
      </c>
      <c r="AK44" t="n">
        <v>238424.019522665</v>
      </c>
      <c r="AL44" t="n">
        <v>145523.062619758</v>
      </c>
      <c r="AM44" t="n">
        <v>12485969.2224583</v>
      </c>
      <c r="AN44" t="n">
        <v>4497301.93712604</v>
      </c>
      <c r="AO44" t="n">
        <v>557466.275181342</v>
      </c>
      <c r="AP44" t="n">
        <v>102716.778255828</v>
      </c>
      <c r="AQ44" t="n">
        <v>1964605.11122028</v>
      </c>
      <c r="AR44" t="n">
        <v>968239.180005699</v>
      </c>
      <c r="AS44" t="n">
        <v>708214.246154039</v>
      </c>
      <c r="AT44" t="n">
        <v>173979.149692574</v>
      </c>
      <c r="AU44" t="n">
        <v>650809.65595153</v>
      </c>
      <c r="AV44" t="n">
        <v>49386.291084465</v>
      </c>
      <c r="AW44" t="n">
        <v>426566.673048287</v>
      </c>
      <c r="AX44" t="n">
        <v>1684334.3528402</v>
      </c>
      <c r="AY44" t="n">
        <v>1399624.49972443</v>
      </c>
      <c r="AZ44" t="n">
        <v>212458.760896537</v>
      </c>
      <c r="BA44" t="n">
        <v>919833.00389905</v>
      </c>
      <c r="BB44" t="n">
        <v>6521812.23531325</v>
      </c>
      <c r="BC44" t="n">
        <v>2464062.10860872</v>
      </c>
      <c r="BD44" t="n">
        <v>6108673.230664</v>
      </c>
      <c r="BE44" t="n">
        <v>2132168.47862971</v>
      </c>
      <c r="BF44" t="n">
        <v>852409.507758562</v>
      </c>
      <c r="BG44" t="n">
        <v>7357117.90113613</v>
      </c>
      <c r="BH44" t="n">
        <v>6849851.54103891</v>
      </c>
      <c r="BI44" t="n">
        <v>2123410.96003002</v>
      </c>
      <c r="BJ44" t="n">
        <v>4589731.31776233</v>
      </c>
      <c r="BK44" t="n">
        <v>234523.953609371</v>
      </c>
      <c r="BL44" t="n">
        <v>1333949.00653121</v>
      </c>
      <c r="BM44" t="n">
        <v>1455727.38669329</v>
      </c>
      <c r="BN44" t="n">
        <v>11980339.8614817</v>
      </c>
      <c r="BO44" t="n">
        <v>7525405.35523801</v>
      </c>
      <c r="BP44" t="n">
        <v>9876867.20051852</v>
      </c>
      <c r="BQ44" t="n">
        <v>2352563.06687775</v>
      </c>
      <c r="BR44" t="n">
        <v>3139967.63508285</v>
      </c>
      <c r="BS44" t="n">
        <v>27807396.2712846</v>
      </c>
      <c r="BT44" t="n">
        <v>4509323.19741074</v>
      </c>
      <c r="BU44" t="n">
        <v>232412823.316749</v>
      </c>
      <c r="BV44" t="n">
        <v>104309.459899588</v>
      </c>
      <c r="BW44" t="n">
        <v>208588395.027255</v>
      </c>
      <c r="BX44" t="n">
        <v>8020928.05461112</v>
      </c>
      <c r="BY44" t="n">
        <v>1760795.07579242</v>
      </c>
      <c r="BZ44" t="n">
        <v>26407678.2645791</v>
      </c>
      <c r="CA44" t="n">
        <v>573336946.338087</v>
      </c>
      <c r="CB44" t="n">
        <v>0</v>
      </c>
      <c r="CC44" t="n">
        <v>0</v>
      </c>
      <c r="CD44" t="n">
        <v>0</v>
      </c>
      <c r="CE44" t="n">
        <v>8237733.71626458</v>
      </c>
      <c r="CF44" t="n">
        <v>369449.875759745</v>
      </c>
      <c r="CG44" t="n">
        <v>0</v>
      </c>
      <c r="CH44" t="n">
        <v>0</v>
      </c>
      <c r="CI44" t="n">
        <v>0</v>
      </c>
      <c r="CJ44" t="n">
        <v>459316.061755358</v>
      </c>
      <c r="CK44" t="n">
        <v>0</v>
      </c>
      <c r="CL44" t="n">
        <v>0</v>
      </c>
      <c r="CM44" t="n">
        <v>3260401.74901547</v>
      </c>
      <c r="CN44" t="n">
        <v>299956.960909424</v>
      </c>
    </row>
    <row r="45">
      <c r="A45" t="s">
        <v>156</v>
      </c>
      <c r="B45" t="n">
        <v>0</v>
      </c>
      <c r="C45" t="n">
        <v>15272.3337923915</v>
      </c>
      <c r="D45" t="n">
        <v>1114.62203609099</v>
      </c>
      <c r="E45" t="n">
        <v>27288.9977903367</v>
      </c>
      <c r="F45" t="n">
        <v>653557.750191705</v>
      </c>
      <c r="G45" t="n">
        <v>11156537.4733602</v>
      </c>
      <c r="H45" t="n">
        <v>3266369.59197615</v>
      </c>
      <c r="I45" t="n">
        <v>1566804.2580458</v>
      </c>
      <c r="J45" t="n">
        <v>716750.22215645</v>
      </c>
      <c r="K45" t="n">
        <v>2527868.39061765</v>
      </c>
      <c r="L45" t="n">
        <v>2257595.14795721</v>
      </c>
      <c r="M45" t="n">
        <v>1296067.59029595</v>
      </c>
      <c r="N45" t="n">
        <v>21098.4851379073</v>
      </c>
      <c r="O45" t="n">
        <v>132374.48395117</v>
      </c>
      <c r="P45" t="n">
        <v>386362.090818166</v>
      </c>
      <c r="Q45" t="n">
        <v>242234.367050211</v>
      </c>
      <c r="R45" t="n">
        <v>378672.985797727</v>
      </c>
      <c r="S45" t="n">
        <v>215345.397320444</v>
      </c>
      <c r="T45" t="n">
        <v>3664551.82983429</v>
      </c>
      <c r="U45" t="n">
        <v>27575.2491354873</v>
      </c>
      <c r="V45" t="n">
        <v>6019.33673319506</v>
      </c>
      <c r="W45" t="n">
        <v>1791011.86306848</v>
      </c>
      <c r="X45" t="n">
        <v>678888.032386393</v>
      </c>
      <c r="Y45" t="n">
        <v>184074.500366466</v>
      </c>
      <c r="Z45" t="n">
        <v>402929.506668788</v>
      </c>
      <c r="AA45" t="n">
        <v>2473257.39080681</v>
      </c>
      <c r="AB45" t="n">
        <v>12728692.0338806</v>
      </c>
      <c r="AC45" t="n">
        <v>1085546.82672408</v>
      </c>
      <c r="AD45" t="n">
        <v>41426.2148894683</v>
      </c>
      <c r="AE45" t="n">
        <v>414108.325327703</v>
      </c>
      <c r="AF45" t="n">
        <v>872079.550006711</v>
      </c>
      <c r="AG45" t="n">
        <v>970.686826908914</v>
      </c>
      <c r="AH45" t="n">
        <v>5219962.7592777</v>
      </c>
      <c r="AI45" t="n">
        <v>0</v>
      </c>
      <c r="AJ45" t="n">
        <v>0</v>
      </c>
      <c r="AK45" t="n">
        <v>0</v>
      </c>
      <c r="AL45" t="n">
        <v>8594.41260376777</v>
      </c>
      <c r="AM45" t="n">
        <v>1055685.2506371</v>
      </c>
      <c r="AN45" t="n">
        <v>40635.1369769661</v>
      </c>
      <c r="AO45" t="n">
        <v>336830.384704146</v>
      </c>
      <c r="AP45" t="n">
        <v>158338.69783725</v>
      </c>
      <c r="AQ45" t="n">
        <v>1590175.0307535</v>
      </c>
      <c r="AR45" t="n">
        <v>2548635.69795402</v>
      </c>
      <c r="AS45" t="n">
        <v>23128872.3383269</v>
      </c>
      <c r="AT45" t="n">
        <v>3073108.98469699</v>
      </c>
      <c r="AU45" t="n">
        <v>5707472.7944542</v>
      </c>
      <c r="AV45" t="n">
        <v>681481.481481481</v>
      </c>
      <c r="AW45" t="n">
        <v>39574.0478246886</v>
      </c>
      <c r="AX45" t="n">
        <v>23679494.083992</v>
      </c>
      <c r="AY45" t="n">
        <v>4172948.81907649</v>
      </c>
      <c r="AZ45" t="n">
        <v>1851709.34132025</v>
      </c>
      <c r="BA45" t="n">
        <v>7904901.66765511</v>
      </c>
      <c r="BB45" t="n">
        <v>14432227.3413015</v>
      </c>
      <c r="BC45" t="n">
        <v>3635928.86272073</v>
      </c>
      <c r="BD45" t="n">
        <v>19232117.7914111</v>
      </c>
      <c r="BE45" t="n">
        <v>1835475.33594558</v>
      </c>
      <c r="BF45" t="n">
        <v>1736733.15351914</v>
      </c>
      <c r="BG45" t="n">
        <v>18911605.4778294</v>
      </c>
      <c r="BH45" t="n">
        <v>22924909.3284975</v>
      </c>
      <c r="BI45" t="n">
        <v>5375746.49450217</v>
      </c>
      <c r="BJ45" t="n">
        <v>2786102.4887001</v>
      </c>
      <c r="BK45" t="n">
        <v>5349132.08406579</v>
      </c>
      <c r="BL45" t="n">
        <v>322998.333454098</v>
      </c>
      <c r="BM45" t="n">
        <v>543914.379993944</v>
      </c>
      <c r="BN45" t="n">
        <v>8587839.21074213</v>
      </c>
      <c r="BO45" t="n">
        <v>2420774.94852092</v>
      </c>
      <c r="BP45" t="n">
        <v>153056.74687373</v>
      </c>
      <c r="BQ45" t="n">
        <v>38589.6926135562</v>
      </c>
      <c r="BR45" t="n">
        <v>106048.572163499</v>
      </c>
      <c r="BS45" t="n">
        <v>145453361.286611</v>
      </c>
      <c r="BT45" t="n">
        <v>4869276.37202164</v>
      </c>
      <c r="BU45" t="n">
        <v>283210689.053566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642755.190361572</v>
      </c>
      <c r="C46" t="n">
        <v>19377.6906831385</v>
      </c>
      <c r="D46" t="n">
        <v>1837951.0439159</v>
      </c>
      <c r="E46" t="n">
        <v>99718.7178080547</v>
      </c>
      <c r="F46" t="n">
        <v>53156.4516114823</v>
      </c>
      <c r="G46" t="n">
        <v>19475959.76785</v>
      </c>
      <c r="H46" t="n">
        <v>652760.878931397</v>
      </c>
      <c r="I46" t="n">
        <v>80761.5655128495</v>
      </c>
      <c r="J46" t="n">
        <v>17550.208383921</v>
      </c>
      <c r="K46" t="n">
        <v>120748.605455073</v>
      </c>
      <c r="L46" t="n">
        <v>57577.0738581692</v>
      </c>
      <c r="M46" t="n">
        <v>37587.7392198772</v>
      </c>
      <c r="N46" t="n">
        <v>669.24925234551</v>
      </c>
      <c r="O46" t="n">
        <v>16795.8076297662</v>
      </c>
      <c r="P46" t="n">
        <v>5534.74313003401</v>
      </c>
      <c r="Q46" t="n">
        <v>4852.88527332445</v>
      </c>
      <c r="R46" t="n">
        <v>10009.6685841062</v>
      </c>
      <c r="S46" t="n">
        <v>10322.1130957244</v>
      </c>
      <c r="T46" t="n">
        <v>221013.337323527</v>
      </c>
      <c r="U46" t="n">
        <v>6220.04504524861</v>
      </c>
      <c r="V46" t="n">
        <v>0</v>
      </c>
      <c r="W46" t="n">
        <v>180551.128678924</v>
      </c>
      <c r="X46" t="n">
        <v>20136.1549532827</v>
      </c>
      <c r="Y46" t="n">
        <v>17753337.9250463</v>
      </c>
      <c r="Z46" t="n">
        <v>344152.484527393</v>
      </c>
      <c r="AA46" t="n">
        <v>77965.0645145922</v>
      </c>
      <c r="AB46" t="n">
        <v>189165.893853191</v>
      </c>
      <c r="AC46" t="n">
        <v>36425.8573013614</v>
      </c>
      <c r="AD46" t="n">
        <v>15768.5994009886</v>
      </c>
      <c r="AE46" t="n">
        <v>18118.0967980839</v>
      </c>
      <c r="AF46" t="n">
        <v>50498.1372742561</v>
      </c>
      <c r="AG46" t="n">
        <v>135724.216155704</v>
      </c>
      <c r="AH46" t="n">
        <v>396544.761965092</v>
      </c>
      <c r="AI46" t="n">
        <v>8009.06198941215</v>
      </c>
      <c r="AJ46" t="n">
        <v>1546725.28389257</v>
      </c>
      <c r="AK46" t="n">
        <v>19101.2703402195</v>
      </c>
      <c r="AL46" t="n">
        <v>2726.16928268761</v>
      </c>
      <c r="AM46" t="n">
        <v>314348.213207065</v>
      </c>
      <c r="AN46" t="n">
        <v>127177.066970424</v>
      </c>
      <c r="AO46" t="n">
        <v>2713.48431130889</v>
      </c>
      <c r="AP46" t="n">
        <v>511.851546377969</v>
      </c>
      <c r="AQ46" t="n">
        <v>6316.05934533974</v>
      </c>
      <c r="AR46" t="n">
        <v>5818.48440276867</v>
      </c>
      <c r="AS46" t="n">
        <v>117637.5671746</v>
      </c>
      <c r="AT46" t="n">
        <v>27759.8524365741</v>
      </c>
      <c r="AU46" t="n">
        <v>2324.78294438225</v>
      </c>
      <c r="AV46" t="n">
        <v>10642.0991529857</v>
      </c>
      <c r="AW46" t="n">
        <v>6694.92664099649</v>
      </c>
      <c r="AX46" t="n">
        <v>84709.8044881019</v>
      </c>
      <c r="AY46" t="n">
        <v>35085.2250838682</v>
      </c>
      <c r="AZ46" t="n">
        <v>725.144269041328</v>
      </c>
      <c r="BA46" t="n">
        <v>19714.6313941937</v>
      </c>
      <c r="BB46" t="n">
        <v>22913.5622571468</v>
      </c>
      <c r="BC46" t="n">
        <v>56131.4445778935</v>
      </c>
      <c r="BD46" t="n">
        <v>177844.388275266</v>
      </c>
      <c r="BE46" t="n">
        <v>50505.6049685199</v>
      </c>
      <c r="BF46" t="n">
        <v>22665.4404531007</v>
      </c>
      <c r="BG46" t="n">
        <v>38208.97323481</v>
      </c>
      <c r="BH46" t="n">
        <v>49692.6838697234</v>
      </c>
      <c r="BI46" t="n">
        <v>30003.5243699822</v>
      </c>
      <c r="BJ46" t="n">
        <v>38331.7032216088</v>
      </c>
      <c r="BK46" t="n">
        <v>2743.34380565859</v>
      </c>
      <c r="BL46" t="n">
        <v>14411.3769958737</v>
      </c>
      <c r="BM46" t="n">
        <v>17642.2685521285</v>
      </c>
      <c r="BN46" t="n">
        <v>119365.191244251</v>
      </c>
      <c r="BO46" t="n">
        <v>81559.7000124932</v>
      </c>
      <c r="BP46" t="n">
        <v>178527.663643402</v>
      </c>
      <c r="BQ46" t="n">
        <v>29377.7940105823</v>
      </c>
      <c r="BR46" t="n">
        <v>648429.336399783</v>
      </c>
      <c r="BS46" t="n">
        <v>2916251.71330366</v>
      </c>
      <c r="BT46" t="n">
        <v>8048702.95144239</v>
      </c>
      <c r="BU46" t="n">
        <v>4248153.04348319</v>
      </c>
      <c r="BV46" t="n">
        <v>0</v>
      </c>
      <c r="BW46" t="n">
        <v>0</v>
      </c>
      <c r="BX46" t="n">
        <v>0</v>
      </c>
      <c r="BY46" t="n">
        <v>0</v>
      </c>
      <c r="BZ46" t="n">
        <v>5016652.38151875</v>
      </c>
      <c r="CA46" t="n">
        <v>22914036.0170535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565076.350318486</v>
      </c>
      <c r="D47" t="n">
        <v>23407.0627579108</v>
      </c>
      <c r="E47" t="n">
        <v>2887175.96621762</v>
      </c>
      <c r="F47" t="n">
        <v>33515.7820611131</v>
      </c>
      <c r="G47" t="n">
        <v>90768825.3179562</v>
      </c>
      <c r="H47" t="n">
        <v>0</v>
      </c>
      <c r="I47" t="n">
        <v>15961818.3788416</v>
      </c>
      <c r="J47" t="n">
        <v>5275030.14376545</v>
      </c>
      <c r="K47" t="n">
        <v>3985110.16873842</v>
      </c>
      <c r="L47" t="n">
        <v>1009678.23200096</v>
      </c>
      <c r="M47" t="n">
        <v>175894.887254451</v>
      </c>
      <c r="N47" t="n">
        <v>0</v>
      </c>
      <c r="O47" t="n">
        <v>37821.2811289056</v>
      </c>
      <c r="P47" t="n">
        <v>34274.0564435469</v>
      </c>
      <c r="Q47" t="n">
        <v>0</v>
      </c>
      <c r="R47" t="n">
        <v>1893364.92898864</v>
      </c>
      <c r="S47" t="n">
        <v>428298.068003994</v>
      </c>
      <c r="T47" t="n">
        <v>8347947.66616959</v>
      </c>
      <c r="U47" t="n">
        <v>174643.244524753</v>
      </c>
      <c r="V47" t="n">
        <v>0</v>
      </c>
      <c r="W47" t="n">
        <v>13861941.1319684</v>
      </c>
      <c r="X47" t="n">
        <v>3085854.69266542</v>
      </c>
      <c r="Y47" t="n">
        <v>3270390.28984421</v>
      </c>
      <c r="Z47" t="n">
        <v>615859.73377018</v>
      </c>
      <c r="AA47" t="n">
        <v>8218588.22410959</v>
      </c>
      <c r="AB47" t="n">
        <v>500282484.006691</v>
      </c>
      <c r="AC47" t="n">
        <v>17027833.6952257</v>
      </c>
      <c r="AD47" t="n">
        <v>11122938.6978222</v>
      </c>
      <c r="AE47" t="n">
        <v>7311153.88164771</v>
      </c>
      <c r="AF47" t="n">
        <v>75595835.3549441</v>
      </c>
      <c r="AG47" t="n">
        <v>27368515.0846968</v>
      </c>
      <c r="AH47" t="n">
        <v>20763482.4405664</v>
      </c>
      <c r="AI47" t="n">
        <v>1589251.88478639</v>
      </c>
      <c r="AJ47" t="n">
        <v>865198553.261071</v>
      </c>
      <c r="AK47" t="n">
        <v>1814064.34040047</v>
      </c>
      <c r="AL47" t="n">
        <v>1963823.27996093</v>
      </c>
      <c r="AM47" t="n">
        <v>175634294.126225</v>
      </c>
      <c r="AN47" t="n">
        <v>38461157.1486984</v>
      </c>
      <c r="AO47" t="n">
        <v>1729597.29288558</v>
      </c>
      <c r="AP47" t="n">
        <v>1081140.6629397</v>
      </c>
      <c r="AQ47" t="n">
        <v>348455.745869462</v>
      </c>
      <c r="AR47" t="n">
        <v>7573592.86298585</v>
      </c>
      <c r="AS47" t="n">
        <v>5542953.88797834</v>
      </c>
      <c r="AT47" t="n">
        <v>7482498.65605849</v>
      </c>
      <c r="AU47" t="n">
        <v>311483.266471016</v>
      </c>
      <c r="AV47" t="n">
        <v>0</v>
      </c>
      <c r="AW47" t="n">
        <v>0</v>
      </c>
      <c r="AX47" t="n">
        <v>0</v>
      </c>
      <c r="AY47" t="n">
        <v>17839775.172317</v>
      </c>
      <c r="AZ47" t="n">
        <v>1886000.25504841</v>
      </c>
      <c r="BA47" t="n">
        <v>3169082.20009597</v>
      </c>
      <c r="BB47" t="n">
        <v>26664254.8522607</v>
      </c>
      <c r="BC47" t="n">
        <v>7852500.35751093</v>
      </c>
      <c r="BD47" t="n">
        <v>15206411.7791411</v>
      </c>
      <c r="BE47" t="n">
        <v>12516614.9415084</v>
      </c>
      <c r="BF47" t="n">
        <v>1257063.9968329</v>
      </c>
      <c r="BG47" t="n">
        <v>16525069.2770046</v>
      </c>
      <c r="BH47" t="n">
        <v>33465640.8341778</v>
      </c>
      <c r="BI47" t="n">
        <v>2916460.708161</v>
      </c>
      <c r="BJ47" t="n">
        <v>10968180.5805152</v>
      </c>
      <c r="BK47" t="n">
        <v>1256202.80551424</v>
      </c>
      <c r="BL47" t="n">
        <v>2260988.33417868</v>
      </c>
      <c r="BM47" t="n">
        <v>474391.489318027</v>
      </c>
      <c r="BN47" t="n">
        <v>6356882.54566671</v>
      </c>
      <c r="BO47" t="n">
        <v>7576888.82192423</v>
      </c>
      <c r="BP47" t="n">
        <v>10740.8243420162</v>
      </c>
      <c r="BQ47" t="n">
        <v>1405767.37377955</v>
      </c>
      <c r="BR47" t="n">
        <v>6494212.56201235</v>
      </c>
      <c r="BS47" t="n">
        <v>6903308.78583607</v>
      </c>
      <c r="BT47" t="n">
        <v>15803538.9944016</v>
      </c>
      <c r="BU47" t="n">
        <v>91323719.2062916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73426487.5454852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3109812.65818388</v>
      </c>
      <c r="C48" t="n">
        <v>0</v>
      </c>
      <c r="D48" t="n">
        <v>2906.63581063432</v>
      </c>
      <c r="E48" t="n">
        <v>348695.755747168</v>
      </c>
      <c r="F48" t="n">
        <v>0</v>
      </c>
      <c r="G48" t="n">
        <v>3143473.53270029</v>
      </c>
      <c r="H48" t="n">
        <v>0</v>
      </c>
      <c r="I48" t="n">
        <v>12534061.009716</v>
      </c>
      <c r="J48" t="n">
        <v>4686394.60054596</v>
      </c>
      <c r="K48" t="n">
        <v>891859.348724821</v>
      </c>
      <c r="L48" t="n">
        <v>2938671.16138665</v>
      </c>
      <c r="M48" t="n">
        <v>1758299.27363667</v>
      </c>
      <c r="N48" t="n">
        <v>166585.910361054</v>
      </c>
      <c r="O48" t="n">
        <v>345197.208567746</v>
      </c>
      <c r="P48" t="n">
        <v>121878.493265949</v>
      </c>
      <c r="Q48" t="n">
        <v>229954.545805209</v>
      </c>
      <c r="R48" t="n">
        <v>342874.218980504</v>
      </c>
      <c r="S48" t="n">
        <v>487727.980957985</v>
      </c>
      <c r="T48" t="n">
        <v>26490160.1271431</v>
      </c>
      <c r="U48" t="n">
        <v>1214460.84785539</v>
      </c>
      <c r="V48" t="n">
        <v>368875.232817722</v>
      </c>
      <c r="W48" t="n">
        <v>27329768.5171028</v>
      </c>
      <c r="X48" t="n">
        <v>2467772.04243024</v>
      </c>
      <c r="Y48" t="n">
        <v>1737394.89211227</v>
      </c>
      <c r="Z48" t="n">
        <v>3801429.72833434</v>
      </c>
      <c r="AA48" t="n">
        <v>20690775.1148913</v>
      </c>
      <c r="AB48" t="n">
        <v>96934907.1447345</v>
      </c>
      <c r="AC48" t="n">
        <v>28234069.798139</v>
      </c>
      <c r="AD48" t="n">
        <v>18304825.0729153</v>
      </c>
      <c r="AE48" t="n">
        <v>25160047.2805091</v>
      </c>
      <c r="AF48" t="n">
        <v>60135240.3390306</v>
      </c>
      <c r="AG48" t="n">
        <v>64969.8107070881</v>
      </c>
      <c r="AH48" t="n">
        <v>7225.19381110553</v>
      </c>
      <c r="AI48" t="n">
        <v>155925.102326095</v>
      </c>
      <c r="AJ48" t="n">
        <v>48258023.4907421</v>
      </c>
      <c r="AK48" t="n">
        <v>176661.188678728</v>
      </c>
      <c r="AL48" t="n">
        <v>550959.866349299</v>
      </c>
      <c r="AM48" t="n">
        <v>2882900.40766214</v>
      </c>
      <c r="AN48" t="n">
        <v>20333612.8913789</v>
      </c>
      <c r="AO48" t="n">
        <v>248637.273194418</v>
      </c>
      <c r="AP48" t="n">
        <v>124923.464876096</v>
      </c>
      <c r="AQ48" t="n">
        <v>455541.596781723</v>
      </c>
      <c r="AR48" t="n">
        <v>1054799.9325304</v>
      </c>
      <c r="AS48" t="n">
        <v>0</v>
      </c>
      <c r="AT48" t="n">
        <v>0</v>
      </c>
      <c r="AU48" t="n">
        <v>35835.2185534869</v>
      </c>
      <c r="AV48" t="n">
        <v>0</v>
      </c>
      <c r="AW48" t="n">
        <v>2866.62555792353</v>
      </c>
      <c r="AX48" t="n">
        <v>589652.365241012</v>
      </c>
      <c r="AY48" t="n">
        <v>1307434.40340551</v>
      </c>
      <c r="AZ48" t="n">
        <v>221069.871392713</v>
      </c>
      <c r="BA48" t="n">
        <v>350317.557440159</v>
      </c>
      <c r="BB48" t="n">
        <v>1661346.47968068</v>
      </c>
      <c r="BC48" t="n">
        <v>66094.3078559365</v>
      </c>
      <c r="BD48" t="n">
        <v>30872890.3509963</v>
      </c>
      <c r="BE48" t="n">
        <v>1031613.03814378</v>
      </c>
      <c r="BF48" t="n">
        <v>267422.829975853</v>
      </c>
      <c r="BG48" t="n">
        <v>2313342.42595489</v>
      </c>
      <c r="BH48" t="n">
        <v>4496124.80491421</v>
      </c>
      <c r="BI48" t="n">
        <v>613224.053272703</v>
      </c>
      <c r="BJ48" t="n">
        <v>915470.745487743</v>
      </c>
      <c r="BK48" t="n">
        <v>236807.750354439</v>
      </c>
      <c r="BL48" t="n">
        <v>191290.022868407</v>
      </c>
      <c r="BM48" t="n">
        <v>1045124.36034058</v>
      </c>
      <c r="BN48" t="n">
        <v>3002326.43468722</v>
      </c>
      <c r="BO48" t="n">
        <v>2116132.67281159</v>
      </c>
      <c r="BP48" t="n">
        <v>508833.688110103</v>
      </c>
      <c r="BQ48" t="n">
        <v>3069263.35082315</v>
      </c>
      <c r="BR48" t="n">
        <v>0</v>
      </c>
      <c r="BS48" t="n">
        <v>21661261.9825841</v>
      </c>
      <c r="BT48" t="n">
        <v>231665.40973795</v>
      </c>
      <c r="BU48" t="n">
        <v>737569.994654623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1228074.77976434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202173.451833094</v>
      </c>
      <c r="C49" t="n">
        <v>0</v>
      </c>
      <c r="D49" t="n">
        <v>8090.59326719622</v>
      </c>
      <c r="E49" t="n">
        <v>1722.43360367232</v>
      </c>
      <c r="F49" t="n">
        <v>13221.6080540391</v>
      </c>
      <c r="G49" t="n">
        <v>870185.70488271</v>
      </c>
      <c r="H49" t="n">
        <v>1258560.52136927</v>
      </c>
      <c r="I49" t="n">
        <v>154521.769471975</v>
      </c>
      <c r="J49" t="n">
        <v>1984.21118214053</v>
      </c>
      <c r="K49" t="n">
        <v>122012.350559044</v>
      </c>
      <c r="L49" t="n">
        <v>272101.845158677</v>
      </c>
      <c r="M49" t="n">
        <v>108100.13765882</v>
      </c>
      <c r="N49" t="n">
        <v>11652.3690459085</v>
      </c>
      <c r="O49" t="n">
        <v>5968.03206651962</v>
      </c>
      <c r="P49" t="n">
        <v>27533.141181037</v>
      </c>
      <c r="Q49" t="n">
        <v>261529.342757555</v>
      </c>
      <c r="R49" t="n">
        <v>19917.6447272553</v>
      </c>
      <c r="S49" t="n">
        <v>20388.3347928728</v>
      </c>
      <c r="T49" t="n">
        <v>41488.8025494316</v>
      </c>
      <c r="U49" t="n">
        <v>0</v>
      </c>
      <c r="V49" t="n">
        <v>0</v>
      </c>
      <c r="W49" t="n">
        <v>54199.9081149721</v>
      </c>
      <c r="X49" t="n">
        <v>111299.272843191</v>
      </c>
      <c r="Y49" t="n">
        <v>9682.04925926432</v>
      </c>
      <c r="Z49" t="n">
        <v>34116.3694222116</v>
      </c>
      <c r="AA49" t="n">
        <v>38784.5122715881</v>
      </c>
      <c r="AB49" t="n">
        <v>8122664.10664189</v>
      </c>
      <c r="AC49" t="n">
        <v>1095718.67778111</v>
      </c>
      <c r="AD49" t="n">
        <v>167779.78608518</v>
      </c>
      <c r="AE49" t="n">
        <v>923835.683042854</v>
      </c>
      <c r="AF49" t="n">
        <v>1416739.83723904</v>
      </c>
      <c r="AG49" t="n">
        <v>5514.12426333892</v>
      </c>
      <c r="AH49" t="n">
        <v>325277.747561106</v>
      </c>
      <c r="AI49" t="n">
        <v>0</v>
      </c>
      <c r="AJ49" t="n">
        <v>189022.848540116</v>
      </c>
      <c r="AK49" t="n">
        <v>9977.22674189841</v>
      </c>
      <c r="AL49" t="n">
        <v>0</v>
      </c>
      <c r="AM49" t="n">
        <v>768397.873623083</v>
      </c>
      <c r="AN49" t="n">
        <v>258619.19520219</v>
      </c>
      <c r="AO49" t="n">
        <v>14248935.3803301</v>
      </c>
      <c r="AP49" t="n">
        <v>20688.3417246899</v>
      </c>
      <c r="AQ49" t="n">
        <v>465188.74862518</v>
      </c>
      <c r="AR49" t="n">
        <v>1356501.72959024</v>
      </c>
      <c r="AS49" t="n">
        <v>945444.105145644</v>
      </c>
      <c r="AT49" t="n">
        <v>489172.154317406</v>
      </c>
      <c r="AU49" t="n">
        <v>789302.281818639</v>
      </c>
      <c r="AV49" t="n">
        <v>63693.6803398794</v>
      </c>
      <c r="AW49" t="n">
        <v>0</v>
      </c>
      <c r="AX49" t="n">
        <v>764507.878698043</v>
      </c>
      <c r="AY49" t="n">
        <v>926886.689622438</v>
      </c>
      <c r="AZ49" t="n">
        <v>966757.399570814</v>
      </c>
      <c r="BA49" t="n">
        <v>1049170.72464658</v>
      </c>
      <c r="BB49" t="n">
        <v>4492941.858044</v>
      </c>
      <c r="BC49" t="n">
        <v>2194585.58427643</v>
      </c>
      <c r="BD49" t="n">
        <v>4140624.91684929</v>
      </c>
      <c r="BE49" t="n">
        <v>55832.279008017</v>
      </c>
      <c r="BF49" t="n">
        <v>656673.279371414</v>
      </c>
      <c r="BG49" t="n">
        <v>4081848.03046393</v>
      </c>
      <c r="BH49" t="n">
        <v>3808178.60215432</v>
      </c>
      <c r="BI49" t="n">
        <v>296023.558537085</v>
      </c>
      <c r="BJ49" t="n">
        <v>2764931.72128538</v>
      </c>
      <c r="BK49" t="n">
        <v>34799.9572633438</v>
      </c>
      <c r="BL49" t="n">
        <v>76171.5354038448</v>
      </c>
      <c r="BM49" t="n">
        <v>166492.056634639</v>
      </c>
      <c r="BN49" t="n">
        <v>345673.083015782</v>
      </c>
      <c r="BO49" t="n">
        <v>1079061.17463728</v>
      </c>
      <c r="BP49" t="n">
        <v>50845.6473556757</v>
      </c>
      <c r="BQ49" t="n">
        <v>1807647.45748392</v>
      </c>
      <c r="BR49" t="n">
        <v>44623.9972410082</v>
      </c>
      <c r="BS49" t="n">
        <v>22885728.4919333</v>
      </c>
      <c r="BT49" t="n">
        <v>436459.414512653</v>
      </c>
      <c r="BU49" t="n">
        <v>208496085.073274</v>
      </c>
      <c r="BV49" t="n">
        <v>0</v>
      </c>
      <c r="BW49" t="n">
        <v>0</v>
      </c>
      <c r="BX49" t="n">
        <v>106120911.294042</v>
      </c>
      <c r="BY49" t="n">
        <v>0</v>
      </c>
      <c r="BZ49" t="n">
        <v>770448.395650425</v>
      </c>
      <c r="CA49" t="n">
        <v>108260326.763215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20399587.7216161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58626.0169562873</v>
      </c>
      <c r="AC50" t="n">
        <v>379744.372144788</v>
      </c>
      <c r="AD50" t="n">
        <v>249270.703045674</v>
      </c>
      <c r="AE50" t="n">
        <v>0</v>
      </c>
      <c r="AF50" t="n">
        <v>61935.2645891468</v>
      </c>
      <c r="AG50" t="n">
        <v>1057.39298857214</v>
      </c>
      <c r="AH50" t="n">
        <v>0</v>
      </c>
      <c r="AI50" t="n">
        <v>0</v>
      </c>
      <c r="AJ50" t="n">
        <v>5482.76617435161</v>
      </c>
      <c r="AK50" t="n">
        <v>0</v>
      </c>
      <c r="AL50" t="n">
        <v>13374.435173405</v>
      </c>
      <c r="AM50" t="n">
        <v>12344.9959988372</v>
      </c>
      <c r="AN50" t="n">
        <v>0</v>
      </c>
      <c r="AO50" t="n">
        <v>19968.3051119303</v>
      </c>
      <c r="AP50" t="n">
        <v>4787127.38059257</v>
      </c>
      <c r="AQ50" t="n">
        <v>16349973.7878913</v>
      </c>
      <c r="AR50" t="n">
        <v>51600.8688664726</v>
      </c>
      <c r="AS50" t="n">
        <v>31803.8418793986</v>
      </c>
      <c r="AT50" t="n">
        <v>7857.01702654557</v>
      </c>
      <c r="AU50" t="n">
        <v>0</v>
      </c>
      <c r="AV50" t="n">
        <v>0</v>
      </c>
      <c r="AW50" t="n">
        <v>0</v>
      </c>
      <c r="AX50" t="n">
        <v>31931.1549418089</v>
      </c>
      <c r="AY50" t="n">
        <v>153218.368093133</v>
      </c>
      <c r="AZ50" t="n">
        <v>3112.8278402748</v>
      </c>
      <c r="BA50" t="n">
        <v>20149.768182627</v>
      </c>
      <c r="BB50" t="n">
        <v>1450591.75841253</v>
      </c>
      <c r="BC50" t="n">
        <v>641113.8272171</v>
      </c>
      <c r="BD50" t="n">
        <v>50726.4358651018</v>
      </c>
      <c r="BE50" t="n">
        <v>0</v>
      </c>
      <c r="BF50" t="n">
        <v>166278.295599034</v>
      </c>
      <c r="BG50" t="n">
        <v>58578.4692939559</v>
      </c>
      <c r="BH50" t="n">
        <v>15762.255301553</v>
      </c>
      <c r="BI50" t="n">
        <v>685686.286866725</v>
      </c>
      <c r="BJ50" t="n">
        <v>1333349.48344694</v>
      </c>
      <c r="BK50" t="n">
        <v>124156.437664506</v>
      </c>
      <c r="BL50" t="n">
        <v>21541.8375588703</v>
      </c>
      <c r="BM50" t="n">
        <v>272384.204480099</v>
      </c>
      <c r="BN50" t="n">
        <v>3029429.12480553</v>
      </c>
      <c r="BO50" t="n">
        <v>347983.10380323</v>
      </c>
      <c r="BP50" t="n">
        <v>8357.31686934888</v>
      </c>
      <c r="BQ50" t="n">
        <v>638271.518146496</v>
      </c>
      <c r="BR50" t="n">
        <v>47151.5562834088</v>
      </c>
      <c r="BS50" t="n">
        <v>421679.087102289</v>
      </c>
      <c r="BT50" t="n">
        <v>0</v>
      </c>
      <c r="BU50" t="n">
        <v>22458386.6404694</v>
      </c>
      <c r="BV50" t="n">
        <v>0</v>
      </c>
      <c r="BW50" t="n">
        <v>0</v>
      </c>
      <c r="BX50" t="n">
        <v>6773675.46398916</v>
      </c>
      <c r="BY50" t="n">
        <v>0</v>
      </c>
      <c r="BZ50" t="n">
        <v>-92316.2730515854</v>
      </c>
      <c r="CA50" t="n">
        <v>20919489.8303862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3864564.77254046</v>
      </c>
      <c r="C51" t="n">
        <v>52862.1702770589</v>
      </c>
      <c r="D51" t="n">
        <v>262347.010311648</v>
      </c>
      <c r="E51" t="n">
        <v>423700.304459728</v>
      </c>
      <c r="F51" t="n">
        <v>1441817.03432762</v>
      </c>
      <c r="G51" t="n">
        <v>7514523.04987364</v>
      </c>
      <c r="H51" t="n">
        <v>15873464.1498666</v>
      </c>
      <c r="I51" t="n">
        <v>4624232.63017201</v>
      </c>
      <c r="J51" t="n">
        <v>2704729.13584025</v>
      </c>
      <c r="K51" t="n">
        <v>4470444.00131874</v>
      </c>
      <c r="L51" t="n">
        <v>6630587.41503965</v>
      </c>
      <c r="M51" t="n">
        <v>5062864.26145465</v>
      </c>
      <c r="N51" t="n">
        <v>144317.719678564</v>
      </c>
      <c r="O51" t="n">
        <v>677931.460422594</v>
      </c>
      <c r="P51" t="n">
        <v>745692.415608455</v>
      </c>
      <c r="Q51" t="n">
        <v>1979490.16242127</v>
      </c>
      <c r="R51" t="n">
        <v>784080.559194252</v>
      </c>
      <c r="S51" t="n">
        <v>558440.136852878</v>
      </c>
      <c r="T51" t="n">
        <v>12107202.7634308</v>
      </c>
      <c r="U51" t="n">
        <v>142411.916468105</v>
      </c>
      <c r="V51" t="n">
        <v>50598.6701218772</v>
      </c>
      <c r="W51" t="n">
        <v>4221787.67945409</v>
      </c>
      <c r="X51" t="n">
        <v>1953111.25886869</v>
      </c>
      <c r="Y51" t="n">
        <v>191141.269847395</v>
      </c>
      <c r="Z51" t="n">
        <v>897377.687984765</v>
      </c>
      <c r="AA51" t="n">
        <v>3478968.20260363</v>
      </c>
      <c r="AB51" t="n">
        <v>47593265.2899541</v>
      </c>
      <c r="AC51" t="n">
        <v>8326625.00373344</v>
      </c>
      <c r="AD51" t="n">
        <v>2642448.34127126</v>
      </c>
      <c r="AE51" t="n">
        <v>3106777.72132771</v>
      </c>
      <c r="AF51" t="n">
        <v>17468700.8272771</v>
      </c>
      <c r="AG51" t="n">
        <v>940275.486009614</v>
      </c>
      <c r="AH51" t="n">
        <v>854894.725701323</v>
      </c>
      <c r="AI51" t="n">
        <v>49979.2827600144</v>
      </c>
      <c r="AJ51" t="n">
        <v>13675766.3701107</v>
      </c>
      <c r="AK51" t="n">
        <v>1182109.42331958</v>
      </c>
      <c r="AL51" t="n">
        <v>1793371.20552871</v>
      </c>
      <c r="AM51" t="n">
        <v>3907506.06735309</v>
      </c>
      <c r="AN51" t="n">
        <v>1185482.86631224</v>
      </c>
      <c r="AO51" t="n">
        <v>1494351.70944328</v>
      </c>
      <c r="AP51" t="n">
        <v>535590.962066347</v>
      </c>
      <c r="AQ51" t="n">
        <v>128376958.381902</v>
      </c>
      <c r="AR51" t="n">
        <v>13742159.7113744</v>
      </c>
      <c r="AS51" t="n">
        <v>22101675.0828327</v>
      </c>
      <c r="AT51" t="n">
        <v>3856335.0567205</v>
      </c>
      <c r="AU51" t="n">
        <v>7311405.57570951</v>
      </c>
      <c r="AV51" t="n">
        <v>1483978.94591874</v>
      </c>
      <c r="AW51" t="n">
        <v>42397.8777265226</v>
      </c>
      <c r="AX51" t="n">
        <v>18856506.1841512</v>
      </c>
      <c r="AY51" t="n">
        <v>4470712.0831816</v>
      </c>
      <c r="AZ51" t="n">
        <v>4946881.01028608</v>
      </c>
      <c r="BA51" t="n">
        <v>3902348.53506135</v>
      </c>
      <c r="BB51" t="n">
        <v>15333806.9606686</v>
      </c>
      <c r="BC51" t="n">
        <v>13446384.6586507</v>
      </c>
      <c r="BD51" t="n">
        <v>35409007.1965211</v>
      </c>
      <c r="BE51" t="n">
        <v>3991212.64621821</v>
      </c>
      <c r="BF51" t="n">
        <v>3592093.80204144</v>
      </c>
      <c r="BG51" t="n">
        <v>21926312.5692472</v>
      </c>
      <c r="BH51" t="n">
        <v>9232185.57310624</v>
      </c>
      <c r="BI51" t="n">
        <v>5121430.8451083</v>
      </c>
      <c r="BJ51" t="n">
        <v>3298888.78892135</v>
      </c>
      <c r="BK51" t="n">
        <v>903403.725910627</v>
      </c>
      <c r="BL51" t="n">
        <v>2492233.7642279</v>
      </c>
      <c r="BM51" t="n">
        <v>8341504.61850628</v>
      </c>
      <c r="BN51" t="n">
        <v>19155518.1608555</v>
      </c>
      <c r="BO51" t="n">
        <v>19436114.8042203</v>
      </c>
      <c r="BP51" t="n">
        <v>8834906.56941912</v>
      </c>
      <c r="BQ51" t="n">
        <v>24939540.5630402</v>
      </c>
      <c r="BR51" t="n">
        <v>5101471.20093484</v>
      </c>
      <c r="BS51" t="n">
        <v>299462111.10549</v>
      </c>
      <c r="BT51" t="n">
        <v>4452144.83331382</v>
      </c>
      <c r="BU51" t="n">
        <v>1110400160.34292</v>
      </c>
      <c r="BV51" t="n">
        <v>0</v>
      </c>
      <c r="BW51" t="n">
        <v>9967417.99944987</v>
      </c>
      <c r="BX51" t="n">
        <v>44387779.6909748</v>
      </c>
      <c r="BY51" t="n">
        <v>0</v>
      </c>
      <c r="BZ51" t="n">
        <v>0</v>
      </c>
      <c r="CA51" t="n">
        <v>29789225.1772576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14266.8809240541</v>
      </c>
      <c r="E52" t="n">
        <v>13434.318795803</v>
      </c>
      <c r="F52" t="n">
        <v>29905.8008341223</v>
      </c>
      <c r="G52" t="n">
        <v>12955555.2858689</v>
      </c>
      <c r="H52" t="n">
        <v>2649312.92329419</v>
      </c>
      <c r="I52" t="n">
        <v>3645761.1430393</v>
      </c>
      <c r="J52" t="n">
        <v>1682250.23261708</v>
      </c>
      <c r="K52" t="n">
        <v>4868052.42962661</v>
      </c>
      <c r="L52" t="n">
        <v>5238704.34135278</v>
      </c>
      <c r="M52" t="n">
        <v>4192909.6681858</v>
      </c>
      <c r="N52" t="n">
        <v>45225.6051477498</v>
      </c>
      <c r="O52" t="n">
        <v>937949.289112984</v>
      </c>
      <c r="P52" t="n">
        <v>423360.14204922</v>
      </c>
      <c r="Q52" t="n">
        <v>2044535.45375249</v>
      </c>
      <c r="R52" t="n">
        <v>935983.500235311</v>
      </c>
      <c r="S52" t="n">
        <v>438191.640319459</v>
      </c>
      <c r="T52" t="n">
        <v>6993733.29965673</v>
      </c>
      <c r="U52" t="n">
        <v>92009.9583598955</v>
      </c>
      <c r="V52" t="n">
        <v>29633.073824963</v>
      </c>
      <c r="W52" t="n">
        <v>4897726.4450908</v>
      </c>
      <c r="X52" t="n">
        <v>646728.142609844</v>
      </c>
      <c r="Y52" t="n">
        <v>200118.077457969</v>
      </c>
      <c r="Z52" t="n">
        <v>484614.607476781</v>
      </c>
      <c r="AA52" t="n">
        <v>1705367.76417314</v>
      </c>
      <c r="AB52" t="n">
        <v>8341925.89713657</v>
      </c>
      <c r="AC52" t="n">
        <v>10365836.2780976</v>
      </c>
      <c r="AD52" t="n">
        <v>2639328.98413155</v>
      </c>
      <c r="AE52" t="n">
        <v>4615074.94481988</v>
      </c>
      <c r="AF52" t="n">
        <v>14357829.2770056</v>
      </c>
      <c r="AG52" t="n">
        <v>196403.408939027</v>
      </c>
      <c r="AH52" t="n">
        <v>0</v>
      </c>
      <c r="AI52" t="n">
        <v>0</v>
      </c>
      <c r="AJ52" t="n">
        <v>789187.021891844</v>
      </c>
      <c r="AK52" t="n">
        <v>102275.777469628</v>
      </c>
      <c r="AL52" t="n">
        <v>55532.0332997432</v>
      </c>
      <c r="AM52" t="n">
        <v>1371378.05761385</v>
      </c>
      <c r="AN52" t="n">
        <v>371752.081399932</v>
      </c>
      <c r="AO52" t="n">
        <v>1274583.83135242</v>
      </c>
      <c r="AP52" t="n">
        <v>58338.2432417404</v>
      </c>
      <c r="AQ52" t="n">
        <v>2599028.71168416</v>
      </c>
      <c r="AR52" t="n">
        <v>7427407.03009807</v>
      </c>
      <c r="AS52" t="n">
        <v>25279297.9714448</v>
      </c>
      <c r="AT52" t="n">
        <v>1943303.75631533</v>
      </c>
      <c r="AU52" t="n">
        <v>2893213.79921015</v>
      </c>
      <c r="AV52" t="n">
        <v>2056178.63576502</v>
      </c>
      <c r="AW52" t="n">
        <v>1623.51868752482</v>
      </c>
      <c r="AX52" t="n">
        <v>1132266.28248223</v>
      </c>
      <c r="AY52" t="n">
        <v>1288084.12012031</v>
      </c>
      <c r="AZ52" t="n">
        <v>3035829.07246748</v>
      </c>
      <c r="BA52" t="n">
        <v>3540975.57139727</v>
      </c>
      <c r="BB52" t="n">
        <v>13333462.2172175</v>
      </c>
      <c r="BC52" t="n">
        <v>5516208.99388226</v>
      </c>
      <c r="BD52" t="n">
        <v>48860150.6257992</v>
      </c>
      <c r="BE52" t="n">
        <v>3128128.14304042</v>
      </c>
      <c r="BF52" t="n">
        <v>4034739.66978239</v>
      </c>
      <c r="BG52" t="n">
        <v>3804484.17241715</v>
      </c>
      <c r="BH52" t="n">
        <v>6176488.27609019</v>
      </c>
      <c r="BI52" t="n">
        <v>704302.287307115</v>
      </c>
      <c r="BJ52" t="n">
        <v>1859086.43490899</v>
      </c>
      <c r="BK52" t="n">
        <v>633860.160301674</v>
      </c>
      <c r="BL52" t="n">
        <v>1282575.71608852</v>
      </c>
      <c r="BM52" t="n">
        <v>1091204.75583799</v>
      </c>
      <c r="BN52" t="n">
        <v>18993564.8375407</v>
      </c>
      <c r="BO52" t="n">
        <v>13105802.5844165</v>
      </c>
      <c r="BP52" t="n">
        <v>1193034.20972733</v>
      </c>
      <c r="BQ52" t="n">
        <v>6100952.58533008</v>
      </c>
      <c r="BR52" t="n">
        <v>713502.487051577</v>
      </c>
      <c r="BS52" t="n">
        <v>68928502.531365</v>
      </c>
      <c r="BT52" t="n">
        <v>3521235.25446707</v>
      </c>
      <c r="BU52" t="n">
        <v>107883080.085904</v>
      </c>
      <c r="BV52" t="n">
        <v>0</v>
      </c>
      <c r="BW52" t="n">
        <v>0</v>
      </c>
      <c r="BX52" t="n">
        <v>18766883.7965145</v>
      </c>
      <c r="BY52" t="n">
        <v>0</v>
      </c>
      <c r="BZ52" t="n">
        <v>0</v>
      </c>
      <c r="CA52" t="n">
        <v>11514909.383213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124782333.869516</v>
      </c>
      <c r="CK52" t="n">
        <v>0</v>
      </c>
      <c r="CL52" t="n">
        <v>0</v>
      </c>
      <c r="CM52" t="n">
        <v>0</v>
      </c>
      <c r="CN52" t="n">
        <v>9362778.75449879</v>
      </c>
    </row>
    <row r="53">
      <c r="A53" t="s">
        <v>164</v>
      </c>
      <c r="B53" t="n">
        <v>6877959.01401526</v>
      </c>
      <c r="C53" t="n">
        <v>1043243.83341147</v>
      </c>
      <c r="D53" t="n">
        <v>516505.77391857</v>
      </c>
      <c r="E53" t="n">
        <v>818945.037818515</v>
      </c>
      <c r="F53" t="n">
        <v>631043.718923876</v>
      </c>
      <c r="G53" t="n">
        <v>13674560.6766482</v>
      </c>
      <c r="H53" t="n">
        <v>8742820.80683985</v>
      </c>
      <c r="I53" t="n">
        <v>3476137.2035344</v>
      </c>
      <c r="J53" t="n">
        <v>1306537.44919196</v>
      </c>
      <c r="K53" t="n">
        <v>6762142.28771365</v>
      </c>
      <c r="L53" t="n">
        <v>4469020.60319002</v>
      </c>
      <c r="M53" t="n">
        <v>4229503.91514059</v>
      </c>
      <c r="N53" t="n">
        <v>560195.130022022</v>
      </c>
      <c r="O53" t="n">
        <v>2160819.18317478</v>
      </c>
      <c r="P53" t="n">
        <v>2090734.45126647</v>
      </c>
      <c r="Q53" t="n">
        <v>1029899.09034587</v>
      </c>
      <c r="R53" t="n">
        <v>794717.563095599</v>
      </c>
      <c r="S53" t="n">
        <v>758002.396180363</v>
      </c>
      <c r="T53" t="n">
        <v>14539234.7461217</v>
      </c>
      <c r="U53" t="n">
        <v>239277.446584354</v>
      </c>
      <c r="V53" t="n">
        <v>497801.648314666</v>
      </c>
      <c r="W53" t="n">
        <v>5159606.45467262</v>
      </c>
      <c r="X53" t="n">
        <v>1082724.14704532</v>
      </c>
      <c r="Y53" t="n">
        <v>905376.330239526</v>
      </c>
      <c r="Z53" t="n">
        <v>2988226.8172482</v>
      </c>
      <c r="AA53" t="n">
        <v>5615246.68855342</v>
      </c>
      <c r="AB53" t="n">
        <v>60355219.7133159</v>
      </c>
      <c r="AC53" t="n">
        <v>7608794.97871528</v>
      </c>
      <c r="AD53" t="n">
        <v>3435238.86778108</v>
      </c>
      <c r="AE53" t="n">
        <v>7825364.71631292</v>
      </c>
      <c r="AF53" t="n">
        <v>12818527.0214839</v>
      </c>
      <c r="AG53" t="n">
        <v>314027.098919241</v>
      </c>
      <c r="AH53" t="n">
        <v>21435689.1500219</v>
      </c>
      <c r="AI53" t="n">
        <v>66615.9389581649</v>
      </c>
      <c r="AJ53" t="n">
        <v>6871922.89892344</v>
      </c>
      <c r="AK53" t="n">
        <v>1654911.91414082</v>
      </c>
      <c r="AL53" t="n">
        <v>1592204.68915493</v>
      </c>
      <c r="AM53" t="n">
        <v>2561923.0983659</v>
      </c>
      <c r="AN53" t="n">
        <v>476921.567629663</v>
      </c>
      <c r="AO53" t="n">
        <v>1285441.16522903</v>
      </c>
      <c r="AP53" t="n">
        <v>279050.688170047</v>
      </c>
      <c r="AQ53" t="n">
        <v>9164842.16764555</v>
      </c>
      <c r="AR53" t="n">
        <v>1304990.53222948</v>
      </c>
      <c r="AS53" t="n">
        <v>90896237.8829328</v>
      </c>
      <c r="AT53" t="n">
        <v>19697725.7163632</v>
      </c>
      <c r="AU53" t="n">
        <v>570428.118561345</v>
      </c>
      <c r="AV53" t="n">
        <v>1671753.13721014</v>
      </c>
      <c r="AW53" t="n">
        <v>160504667.762281</v>
      </c>
      <c r="AX53" t="n">
        <v>34435088.1992259</v>
      </c>
      <c r="AY53" t="n">
        <v>11086894.095672</v>
      </c>
      <c r="AZ53" t="n">
        <v>1204642.80039419</v>
      </c>
      <c r="BA53" t="n">
        <v>2252210.78056471</v>
      </c>
      <c r="BB53" t="n">
        <v>8843152.02613611</v>
      </c>
      <c r="BC53" t="n">
        <v>78329270.5592435</v>
      </c>
      <c r="BD53" t="n">
        <v>8219699.99420716</v>
      </c>
      <c r="BE53" t="n">
        <v>1521920.2590663</v>
      </c>
      <c r="BF53" t="n">
        <v>1368525.7355158</v>
      </c>
      <c r="BG53" t="n">
        <v>8830668.48163774</v>
      </c>
      <c r="BH53" t="n">
        <v>9188973.43154322</v>
      </c>
      <c r="BI53" t="n">
        <v>1840667.75699495</v>
      </c>
      <c r="BJ53" t="n">
        <v>1962877.20244002</v>
      </c>
      <c r="BK53" t="n">
        <v>460092.965893638</v>
      </c>
      <c r="BL53" t="n">
        <v>1413893.37416604</v>
      </c>
      <c r="BM53" t="n">
        <v>4986833.58454083</v>
      </c>
      <c r="BN53" t="n">
        <v>11229276.1518877</v>
      </c>
      <c r="BO53" t="n">
        <v>14861345.5566599</v>
      </c>
      <c r="BP53" t="n">
        <v>0</v>
      </c>
      <c r="BQ53" t="n">
        <v>5404301.90966147</v>
      </c>
      <c r="BR53" t="n">
        <v>1513550.72778813</v>
      </c>
      <c r="BS53" t="n">
        <v>37180352.6309783</v>
      </c>
      <c r="BT53" t="n">
        <v>3524425.4646859</v>
      </c>
      <c r="BU53" t="n">
        <v>490169942.405325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343708481.375776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783613.240621852</v>
      </c>
      <c r="C54" t="n">
        <v>27287.3461731689</v>
      </c>
      <c r="D54" t="n">
        <v>700349.338473973</v>
      </c>
      <c r="E54" t="n">
        <v>2704428.76425001</v>
      </c>
      <c r="F54" t="n">
        <v>9852039.65894515</v>
      </c>
      <c r="G54" t="n">
        <v>1920091.43619808</v>
      </c>
      <c r="H54" t="n">
        <v>1951920.9913677</v>
      </c>
      <c r="I54" t="n">
        <v>182254.986932501</v>
      </c>
      <c r="J54" t="n">
        <v>110463.713555329</v>
      </c>
      <c r="K54" t="n">
        <v>12292200.6962336</v>
      </c>
      <c r="L54" t="n">
        <v>6472814.09708698</v>
      </c>
      <c r="M54" t="n">
        <v>4554223.08814195</v>
      </c>
      <c r="N54" t="n">
        <v>35864.5381364947</v>
      </c>
      <c r="O54" t="n">
        <v>884118.61589244</v>
      </c>
      <c r="P54" t="n">
        <v>1561570.44620731</v>
      </c>
      <c r="Q54" t="n">
        <v>871303.563775833</v>
      </c>
      <c r="R54" t="n">
        <v>1216907.27953899</v>
      </c>
      <c r="S54" t="n">
        <v>562179.144445118</v>
      </c>
      <c r="T54" t="n">
        <v>523605.772558385</v>
      </c>
      <c r="U54" t="n">
        <v>5474.35337941518</v>
      </c>
      <c r="V54" t="n">
        <v>1792.4757211784</v>
      </c>
      <c r="W54" t="n">
        <v>138814.184472596</v>
      </c>
      <c r="X54" t="n">
        <v>63012.0069277979</v>
      </c>
      <c r="Y54" t="n">
        <v>32888.9132560421</v>
      </c>
      <c r="Z54" t="n">
        <v>23412.0716751097</v>
      </c>
      <c r="AA54" t="n">
        <v>324792.828155638</v>
      </c>
      <c r="AB54" t="n">
        <v>6700085.36784298</v>
      </c>
      <c r="AC54" t="n">
        <v>219069.383907791</v>
      </c>
      <c r="AD54" t="n">
        <v>487278.21090446</v>
      </c>
      <c r="AE54" t="n">
        <v>2449306.24560002</v>
      </c>
      <c r="AF54" t="n">
        <v>1019601.21158457</v>
      </c>
      <c r="AG54" t="n">
        <v>601238.958082181</v>
      </c>
      <c r="AH54" t="n">
        <v>2024723.42392873</v>
      </c>
      <c r="AI54" t="n">
        <v>117422.07528156</v>
      </c>
      <c r="AJ54" t="n">
        <v>2019648.77672545</v>
      </c>
      <c r="AK54" t="n">
        <v>1105063.42675797</v>
      </c>
      <c r="AL54" t="n">
        <v>123486.124231173</v>
      </c>
      <c r="AM54" t="n">
        <v>2756630.60947996</v>
      </c>
      <c r="AN54" t="n">
        <v>46385.5762627655</v>
      </c>
      <c r="AO54" t="n">
        <v>110652.227023779</v>
      </c>
      <c r="AP54" t="n">
        <v>191006.952240797</v>
      </c>
      <c r="AQ54" t="n">
        <v>132589.033175803</v>
      </c>
      <c r="AR54" t="n">
        <v>65652.9991747649</v>
      </c>
      <c r="AS54" t="n">
        <v>72876453.7771031</v>
      </c>
      <c r="AT54" t="n">
        <v>19072383.4755447</v>
      </c>
      <c r="AU54" t="n">
        <v>3506973.84569435</v>
      </c>
      <c r="AV54" t="n">
        <v>73654773.7898256</v>
      </c>
      <c r="AW54" t="n">
        <v>3928.20245035283</v>
      </c>
      <c r="AX54" t="n">
        <v>6253445.4555194</v>
      </c>
      <c r="AY54" t="n">
        <v>3036749.27363548</v>
      </c>
      <c r="AZ54" t="n">
        <v>393137.462150464</v>
      </c>
      <c r="BA54" t="n">
        <v>470408.626083248</v>
      </c>
      <c r="BB54" t="n">
        <v>2034582.24259762</v>
      </c>
      <c r="BC54" t="n">
        <v>35454249.2006378</v>
      </c>
      <c r="BD54" t="n">
        <v>1930051.66454814</v>
      </c>
      <c r="BE54" t="n">
        <v>79023.5160971033</v>
      </c>
      <c r="BF54" t="n">
        <v>1038290.89353816</v>
      </c>
      <c r="BG54" t="n">
        <v>2943595.51806488</v>
      </c>
      <c r="BH54" t="n">
        <v>21318679.0099028</v>
      </c>
      <c r="BI54" t="n">
        <v>767550.220957811</v>
      </c>
      <c r="BJ54" t="n">
        <v>5612720.28218387</v>
      </c>
      <c r="BK54" t="n">
        <v>578182.051741438</v>
      </c>
      <c r="BL54" t="n">
        <v>80329.8811034279</v>
      </c>
      <c r="BM54" t="n">
        <v>5843106.28551191</v>
      </c>
      <c r="BN54" t="n">
        <v>10445475.0589186</v>
      </c>
      <c r="BO54" t="n">
        <v>6789243.6148377</v>
      </c>
      <c r="BP54" t="n">
        <v>0</v>
      </c>
      <c r="BQ54" t="n">
        <v>6566.55994444195</v>
      </c>
      <c r="BR54" t="n">
        <v>25564.6054738653</v>
      </c>
      <c r="BS54" t="n">
        <v>54164127.7763525</v>
      </c>
      <c r="BT54" t="n">
        <v>3706517.96931166</v>
      </c>
      <c r="BU54" t="n">
        <v>588949595.282149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134534327.723417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6226127.63147568</v>
      </c>
      <c r="C55" t="n">
        <v>828927.473236803</v>
      </c>
      <c r="D55" t="n">
        <v>652153.936045934</v>
      </c>
      <c r="E55" t="n">
        <v>837958.842553607</v>
      </c>
      <c r="F55" t="n">
        <v>3453261.44301248</v>
      </c>
      <c r="G55" t="n">
        <v>3999312.94970917</v>
      </c>
      <c r="H55" t="n">
        <v>434277.784734412</v>
      </c>
      <c r="I55" t="n">
        <v>1101203.12123755</v>
      </c>
      <c r="J55" t="n">
        <v>1371266.04982991</v>
      </c>
      <c r="K55" t="n">
        <v>4131657.99893024</v>
      </c>
      <c r="L55" t="n">
        <v>2272812.61045696</v>
      </c>
      <c r="M55" t="n">
        <v>2911871.48122641</v>
      </c>
      <c r="N55" t="n">
        <v>52821.6516430086</v>
      </c>
      <c r="O55" t="n">
        <v>1597671.16125208</v>
      </c>
      <c r="P55" t="n">
        <v>2211950.71616964</v>
      </c>
      <c r="Q55" t="n">
        <v>1404062.55954938</v>
      </c>
      <c r="R55" t="n">
        <v>683529.028733843</v>
      </c>
      <c r="S55" t="n">
        <v>299849.555694624</v>
      </c>
      <c r="T55" t="n">
        <v>14472602.1906843</v>
      </c>
      <c r="U55" t="n">
        <v>174435.32114035</v>
      </c>
      <c r="V55" t="n">
        <v>74933.0269246874</v>
      </c>
      <c r="W55" t="n">
        <v>1926194.40372385</v>
      </c>
      <c r="X55" t="n">
        <v>128781.498286991</v>
      </c>
      <c r="Y55" t="n">
        <v>247481.091551598</v>
      </c>
      <c r="Z55" t="n">
        <v>1607280.82668422</v>
      </c>
      <c r="AA55" t="n">
        <v>2238727.98973651</v>
      </c>
      <c r="AB55" t="n">
        <v>63402316.8904289</v>
      </c>
      <c r="AC55" t="n">
        <v>5722646.90191487</v>
      </c>
      <c r="AD55" t="n">
        <v>1798085.42408356</v>
      </c>
      <c r="AE55" t="n">
        <v>4024547.18357181</v>
      </c>
      <c r="AF55" t="n">
        <v>8913315.52889822</v>
      </c>
      <c r="AG55" t="n">
        <v>163695.302757292</v>
      </c>
      <c r="AH55" t="n">
        <v>135206.387795159</v>
      </c>
      <c r="AI55" t="n">
        <v>65582.4477044468</v>
      </c>
      <c r="AJ55" t="n">
        <v>41763153.8919863</v>
      </c>
      <c r="AK55" t="n">
        <v>2917332.31269282</v>
      </c>
      <c r="AL55" t="n">
        <v>222537.995386774</v>
      </c>
      <c r="AM55" t="n">
        <v>4587267.2779343</v>
      </c>
      <c r="AN55" t="n">
        <v>3159909.88089966</v>
      </c>
      <c r="AO55" t="n">
        <v>120468.616770544</v>
      </c>
      <c r="AP55" t="n">
        <v>386522.449550348</v>
      </c>
      <c r="AQ55" t="n">
        <v>969929.025169503</v>
      </c>
      <c r="AR55" t="n">
        <v>402829.922043071</v>
      </c>
      <c r="AS55" t="n">
        <v>4943536.68958292</v>
      </c>
      <c r="AT55" t="n">
        <v>3635392.98786577</v>
      </c>
      <c r="AU55" t="n">
        <v>239026180.854419</v>
      </c>
      <c r="AV55" t="n">
        <v>6783376.31432962</v>
      </c>
      <c r="AW55" t="n">
        <v>6513877.14461273</v>
      </c>
      <c r="AX55" t="n">
        <v>28185257.1169151</v>
      </c>
      <c r="AY55" t="n">
        <v>7682998.68664355</v>
      </c>
      <c r="AZ55" t="n">
        <v>1553361.3304088</v>
      </c>
      <c r="BA55" t="n">
        <v>1479715.15531165</v>
      </c>
      <c r="BB55" t="n">
        <v>6943212.07890405</v>
      </c>
      <c r="BC55" t="n">
        <v>874274.836121877</v>
      </c>
      <c r="BD55" t="n">
        <v>8511639.2382379</v>
      </c>
      <c r="BE55" t="n">
        <v>1962532.88901696</v>
      </c>
      <c r="BF55" t="n">
        <v>1418827.75145561</v>
      </c>
      <c r="BG55" t="n">
        <v>16436031.2383652</v>
      </c>
      <c r="BH55" t="n">
        <v>19132192.5388866</v>
      </c>
      <c r="BI55" t="n">
        <v>4584393.38161495</v>
      </c>
      <c r="BJ55" t="n">
        <v>16285878.2898975</v>
      </c>
      <c r="BK55" t="n">
        <v>1009165.31776908</v>
      </c>
      <c r="BL55" t="n">
        <v>1061050.30782052</v>
      </c>
      <c r="BM55" t="n">
        <v>1183828.39902214</v>
      </c>
      <c r="BN55" t="n">
        <v>9525204.20682149</v>
      </c>
      <c r="BO55" t="n">
        <v>4265513.3327978</v>
      </c>
      <c r="BP55" t="n">
        <v>0</v>
      </c>
      <c r="BQ55" t="n">
        <v>893987.026877094</v>
      </c>
      <c r="BR55" t="n">
        <v>3450041.11390565</v>
      </c>
      <c r="BS55" t="n">
        <v>5375769.1785158</v>
      </c>
      <c r="BT55" t="n">
        <v>9875546.76934154</v>
      </c>
      <c r="BU55" t="n">
        <v>440966262.216002</v>
      </c>
      <c r="BV55" t="n">
        <v>0</v>
      </c>
      <c r="BW55" t="n">
        <v>0</v>
      </c>
      <c r="BX55" t="n">
        <v>0</v>
      </c>
      <c r="BY55" t="n">
        <v>5660810.68572322</v>
      </c>
      <c r="BZ55" t="n">
        <v>0</v>
      </c>
      <c r="CA55" t="n">
        <v>87478019.0223628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7637773.96178776</v>
      </c>
      <c r="AV56" t="n">
        <v>11091180.5779306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501393.714006701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154950.947940409</v>
      </c>
      <c r="BR56" t="n">
        <v>0</v>
      </c>
      <c r="BS56" t="n">
        <v>4109406.61027584</v>
      </c>
      <c r="BT56" t="n">
        <v>0</v>
      </c>
      <c r="BU56" t="n">
        <v>629460668.655175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14424491787.964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33775358.3902493</v>
      </c>
      <c r="C58" t="n">
        <v>198540.33930109</v>
      </c>
      <c r="D58" t="n">
        <v>2126698.84486161</v>
      </c>
      <c r="E58" t="n">
        <v>1140680.10763607</v>
      </c>
      <c r="F58" t="n">
        <v>4650314.76097944</v>
      </c>
      <c r="G58" t="n">
        <v>92200510.2598798</v>
      </c>
      <c r="H58" t="n">
        <v>90136377.7455274</v>
      </c>
      <c r="I58" t="n">
        <v>17944805.0179308</v>
      </c>
      <c r="J58" t="n">
        <v>6903436.3502437</v>
      </c>
      <c r="K58" t="n">
        <v>13293613.7718364</v>
      </c>
      <c r="L58" t="n">
        <v>57336109.9385716</v>
      </c>
      <c r="M58" t="n">
        <v>19515074.8595991</v>
      </c>
      <c r="N58" t="n">
        <v>2747198.58566501</v>
      </c>
      <c r="O58" t="n">
        <v>6514715.674454</v>
      </c>
      <c r="P58" t="n">
        <v>5462038.26777616</v>
      </c>
      <c r="Q58" t="n">
        <v>7464643.25831045</v>
      </c>
      <c r="R58" t="n">
        <v>9529936.8092428</v>
      </c>
      <c r="S58" t="n">
        <v>4249482.50712343</v>
      </c>
      <c r="T58" t="n">
        <v>86141617.4528759</v>
      </c>
      <c r="U58" t="n">
        <v>1675962.3641235</v>
      </c>
      <c r="V58" t="n">
        <v>908919.846712455</v>
      </c>
      <c r="W58" t="n">
        <v>37954730.851602</v>
      </c>
      <c r="X58" t="n">
        <v>16099344.7680202</v>
      </c>
      <c r="Y58" t="n">
        <v>533816.051062751</v>
      </c>
      <c r="Z58" t="n">
        <v>14924770.9949837</v>
      </c>
      <c r="AA58" t="n">
        <v>43258961.5683974</v>
      </c>
      <c r="AB58" t="n">
        <v>733807492.64339</v>
      </c>
      <c r="AC58" t="n">
        <v>177240190.981496</v>
      </c>
      <c r="AD58" t="n">
        <v>181964648.901989</v>
      </c>
      <c r="AE58" t="n">
        <v>259474564.811368</v>
      </c>
      <c r="AF58" t="n">
        <v>630718365.55586</v>
      </c>
      <c r="AG58" t="n">
        <v>382450.609802112</v>
      </c>
      <c r="AH58" t="n">
        <v>3590802.407656</v>
      </c>
      <c r="AI58" t="n">
        <v>414292.157999871</v>
      </c>
      <c r="AJ58" t="n">
        <v>134428679.397631</v>
      </c>
      <c r="AK58" t="n">
        <v>4665382.06713781</v>
      </c>
      <c r="AL58" t="n">
        <v>1078598.78177285</v>
      </c>
      <c r="AM58" t="n">
        <v>45766701.6172151</v>
      </c>
      <c r="AN58" t="n">
        <v>63377268.6384081</v>
      </c>
      <c r="AO58" t="n">
        <v>10469811.1245539</v>
      </c>
      <c r="AP58" t="n">
        <v>3916109.32294295</v>
      </c>
      <c r="AQ58" t="n">
        <v>73703921.2949764</v>
      </c>
      <c r="AR58" t="n">
        <v>22034675.276498</v>
      </c>
      <c r="AS58" t="n">
        <v>130613327.991633</v>
      </c>
      <c r="AT58" t="n">
        <v>49322894.3124395</v>
      </c>
      <c r="AU58" t="n">
        <v>101341996.873599</v>
      </c>
      <c r="AV58" t="n">
        <v>2130940.17094017</v>
      </c>
      <c r="AW58" t="n">
        <v>33816023.8661964</v>
      </c>
      <c r="AX58" t="n">
        <v>605940245.923735</v>
      </c>
      <c r="AY58" t="n">
        <v>47071365.4441007</v>
      </c>
      <c r="AZ58" t="n">
        <v>58603171.5614132</v>
      </c>
      <c r="BA58" t="n">
        <v>28541162.1636835</v>
      </c>
      <c r="BB58" t="n">
        <v>186303651.297577</v>
      </c>
      <c r="BC58" t="n">
        <v>542416992.124897</v>
      </c>
      <c r="BD58" t="n">
        <v>227395345.276074</v>
      </c>
      <c r="BE58" t="n">
        <v>23735865.7901397</v>
      </c>
      <c r="BF58" t="n">
        <v>116354505.159483</v>
      </c>
      <c r="BG58" t="n">
        <v>390315360.668021</v>
      </c>
      <c r="BH58" t="n">
        <v>525956167.186059</v>
      </c>
      <c r="BI58" t="n">
        <v>224094534.954101</v>
      </c>
      <c r="BJ58" t="n">
        <v>106887311.441486</v>
      </c>
      <c r="BK58" t="n">
        <v>32762893.4801329</v>
      </c>
      <c r="BL58" t="n">
        <v>70832469.6968129</v>
      </c>
      <c r="BM58" t="n">
        <v>12321909.9768553</v>
      </c>
      <c r="BN58" t="n">
        <v>390571970.614996</v>
      </c>
      <c r="BO58" t="n">
        <v>432928929.988449</v>
      </c>
      <c r="BP58" t="n">
        <v>776024.558710668</v>
      </c>
      <c r="BQ58" t="n">
        <v>69764651.4320791</v>
      </c>
      <c r="BR58" t="n">
        <v>3166307.36888161</v>
      </c>
      <c r="BS58" t="n">
        <v>191574883.420019</v>
      </c>
      <c r="BT58" t="n">
        <v>11467289.9175421</v>
      </c>
      <c r="BU58" t="n">
        <v>41899113.8782596</v>
      </c>
      <c r="BV58" t="n">
        <v>112928903.847347</v>
      </c>
      <c r="BW58" t="n">
        <v>0</v>
      </c>
      <c r="BX58" t="n">
        <v>0</v>
      </c>
      <c r="BY58" t="n">
        <v>889327309.539485</v>
      </c>
      <c r="BZ58" t="n">
        <v>0</v>
      </c>
      <c r="CA58" t="n">
        <v>10049021.3987498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7194077.52850035</v>
      </c>
      <c r="C59" t="n">
        <v>270839.346297098</v>
      </c>
      <c r="D59" t="n">
        <v>1601101.97471346</v>
      </c>
      <c r="E59" t="n">
        <v>4837698.54933209</v>
      </c>
      <c r="F59" t="n">
        <v>8199099.71651513</v>
      </c>
      <c r="G59" t="n">
        <v>8244864.21482755</v>
      </c>
      <c r="H59" t="n">
        <v>46315482.4623603</v>
      </c>
      <c r="I59" t="n">
        <v>1922670.0996946</v>
      </c>
      <c r="J59" t="n">
        <v>1459436.76342142</v>
      </c>
      <c r="K59" t="n">
        <v>5688408.73608678</v>
      </c>
      <c r="L59" t="n">
        <v>6323011.57570598</v>
      </c>
      <c r="M59" t="n">
        <v>4283198.02339229</v>
      </c>
      <c r="N59" t="n">
        <v>151724.200361748</v>
      </c>
      <c r="O59" t="n">
        <v>1131843.4624196</v>
      </c>
      <c r="P59" t="n">
        <v>5238462.87304503</v>
      </c>
      <c r="Q59" t="n">
        <v>1592749.53825857</v>
      </c>
      <c r="R59" t="n">
        <v>604584.17468739</v>
      </c>
      <c r="S59" t="n">
        <v>567535.751169625</v>
      </c>
      <c r="T59" t="n">
        <v>17547768.4029434</v>
      </c>
      <c r="U59" t="n">
        <v>73740.9706947975</v>
      </c>
      <c r="V59" t="n">
        <v>3343463.2252654</v>
      </c>
      <c r="W59" t="n">
        <v>6596318.46798554</v>
      </c>
      <c r="X59" t="n">
        <v>1197796.50726291</v>
      </c>
      <c r="Y59" t="n">
        <v>1101726.40174638</v>
      </c>
      <c r="Z59" t="n">
        <v>3712820.740807</v>
      </c>
      <c r="AA59" t="n">
        <v>4456123.67427936</v>
      </c>
      <c r="AB59" t="n">
        <v>59902535.2872605</v>
      </c>
      <c r="AC59" t="n">
        <v>2255807.39860988</v>
      </c>
      <c r="AD59" t="n">
        <v>2238939.10828681</v>
      </c>
      <c r="AE59" t="n">
        <v>12584834.0368774</v>
      </c>
      <c r="AF59" t="n">
        <v>11093084.2484919</v>
      </c>
      <c r="AG59" t="n">
        <v>4263882.51748364</v>
      </c>
      <c r="AH59" t="n">
        <v>34893021.5579925</v>
      </c>
      <c r="AI59" t="n">
        <v>1060459.1295723</v>
      </c>
      <c r="AJ59" t="n">
        <v>133190172.498946</v>
      </c>
      <c r="AK59" t="n">
        <v>804264.768524946</v>
      </c>
      <c r="AL59" t="n">
        <v>56474.5297226625</v>
      </c>
      <c r="AM59" t="n">
        <v>5209866.09483852</v>
      </c>
      <c r="AN59" t="n">
        <v>10077997.4737641</v>
      </c>
      <c r="AO59" t="n">
        <v>695451.112878089</v>
      </c>
      <c r="AP59" t="n">
        <v>423495.951682181</v>
      </c>
      <c r="AQ59" t="n">
        <v>7227818.73892787</v>
      </c>
      <c r="AR59" t="n">
        <v>5235801.65916047</v>
      </c>
      <c r="AS59" t="n">
        <v>6299941.67402564</v>
      </c>
      <c r="AT59" t="n">
        <v>3346995.70723852</v>
      </c>
      <c r="AU59" t="n">
        <v>4833359.76955155</v>
      </c>
      <c r="AV59" t="n">
        <v>24901.2006660029</v>
      </c>
      <c r="AW59" t="n">
        <v>10186624.605128</v>
      </c>
      <c r="AX59" t="n">
        <v>2890115.24314331</v>
      </c>
      <c r="AY59" t="n">
        <v>13798611.3168625</v>
      </c>
      <c r="AZ59" t="n">
        <v>1692223.57310341</v>
      </c>
      <c r="BA59" t="n">
        <v>3041492.01836398</v>
      </c>
      <c r="BB59" t="n">
        <v>15369608.164731</v>
      </c>
      <c r="BC59" t="n">
        <v>75731026.6456629</v>
      </c>
      <c r="BD59" t="n">
        <v>16707294.3778162</v>
      </c>
      <c r="BE59" t="n">
        <v>5880248.71860894</v>
      </c>
      <c r="BF59" t="n">
        <v>1631100.52118858</v>
      </c>
      <c r="BG59" t="n">
        <v>9453013.50538581</v>
      </c>
      <c r="BH59" t="n">
        <v>8480840.2049851</v>
      </c>
      <c r="BI59" t="n">
        <v>1280530.99017206</v>
      </c>
      <c r="BJ59" t="n">
        <v>1227776.46018635</v>
      </c>
      <c r="BK59" t="n">
        <v>1454308.22883813</v>
      </c>
      <c r="BL59" t="n">
        <v>2711156.04705654</v>
      </c>
      <c r="BM59" t="n">
        <v>2671753.88949189</v>
      </c>
      <c r="BN59" t="n">
        <v>21328931.7026655</v>
      </c>
      <c r="BO59" t="n">
        <v>5959610.90812737</v>
      </c>
      <c r="BP59" t="n">
        <v>331635.147762786</v>
      </c>
      <c r="BQ59" t="n">
        <v>556906.497276428</v>
      </c>
      <c r="BR59" t="n">
        <v>323039.197510016</v>
      </c>
      <c r="BS59" t="n">
        <v>22568708.7841325</v>
      </c>
      <c r="BT59" t="n">
        <v>918505.436474676</v>
      </c>
      <c r="BU59" t="n">
        <v>205102752.87176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375798461.133491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1720927.2988677</v>
      </c>
      <c r="C60" t="n">
        <v>323460.068224953</v>
      </c>
      <c r="D60" t="n">
        <v>487355.746648402</v>
      </c>
      <c r="E60" t="n">
        <v>1364001.52384194</v>
      </c>
      <c r="F60" t="n">
        <v>995757.305740017</v>
      </c>
      <c r="G60" t="n">
        <v>34495094.1206988</v>
      </c>
      <c r="H60" t="n">
        <v>15432961.248438</v>
      </c>
      <c r="I60" t="n">
        <v>4678035.95393765</v>
      </c>
      <c r="J60" t="n">
        <v>1393755.66182917</v>
      </c>
      <c r="K60" t="n">
        <v>6046750.27544196</v>
      </c>
      <c r="L60" t="n">
        <v>9584295.43038576</v>
      </c>
      <c r="M60" t="n">
        <v>6531365.68950382</v>
      </c>
      <c r="N60" t="n">
        <v>1242091.16615671</v>
      </c>
      <c r="O60" t="n">
        <v>1201552.52700202</v>
      </c>
      <c r="P60" t="n">
        <v>3358234.79737422</v>
      </c>
      <c r="Q60" t="n">
        <v>3240251.12644259</v>
      </c>
      <c r="R60" t="n">
        <v>1028503.10779267</v>
      </c>
      <c r="S60" t="n">
        <v>1841253.53638445</v>
      </c>
      <c r="T60" t="n">
        <v>10046803.5222382</v>
      </c>
      <c r="U60" t="n">
        <v>207654.898367128</v>
      </c>
      <c r="V60" t="n">
        <v>215310.388286308</v>
      </c>
      <c r="W60" t="n">
        <v>8591149.77647023</v>
      </c>
      <c r="X60" t="n">
        <v>1302986.23687258</v>
      </c>
      <c r="Y60" t="n">
        <v>1042515.04246578</v>
      </c>
      <c r="Z60" t="n">
        <v>6392283.25222337</v>
      </c>
      <c r="AA60" t="n">
        <v>7671169.44912714</v>
      </c>
      <c r="AB60" t="n">
        <v>67641981.7773354</v>
      </c>
      <c r="AC60" t="n">
        <v>2651707.32421775</v>
      </c>
      <c r="AD60" t="n">
        <v>2261705.19448332</v>
      </c>
      <c r="AE60" t="n">
        <v>4489471.08651813</v>
      </c>
      <c r="AF60" t="n">
        <v>12980094.9245398</v>
      </c>
      <c r="AG60" t="n">
        <v>216551.018248538</v>
      </c>
      <c r="AH60" t="n">
        <v>8434498.59091274</v>
      </c>
      <c r="AI60" t="n">
        <v>49076.2326168355</v>
      </c>
      <c r="AJ60" t="n">
        <v>1964995.57755352</v>
      </c>
      <c r="AK60" t="n">
        <v>205478.501535444</v>
      </c>
      <c r="AL60" t="n">
        <v>110226.358190653</v>
      </c>
      <c r="AM60" t="n">
        <v>2007558.82223472</v>
      </c>
      <c r="AN60" t="n">
        <v>1096507.66737094</v>
      </c>
      <c r="AO60" t="n">
        <v>2713269.48972666</v>
      </c>
      <c r="AP60" t="n">
        <v>547292.474569966</v>
      </c>
      <c r="AQ60" t="n">
        <v>4280985.04992397</v>
      </c>
      <c r="AR60" t="n">
        <v>5374219.02987343</v>
      </c>
      <c r="AS60" t="n">
        <v>13116824.9677295</v>
      </c>
      <c r="AT60" t="n">
        <v>9176476.98833482</v>
      </c>
      <c r="AU60" t="n">
        <v>28447097.0805608</v>
      </c>
      <c r="AV60" t="n">
        <v>2992776.32767818</v>
      </c>
      <c r="AW60" t="n">
        <v>4612971.65372352</v>
      </c>
      <c r="AX60" t="n">
        <v>18560856.8949442</v>
      </c>
      <c r="AY60" t="n">
        <v>1896974.72463018</v>
      </c>
      <c r="AZ60" t="n">
        <v>3523723.76541341</v>
      </c>
      <c r="BA60" t="n">
        <v>6385151.78767628</v>
      </c>
      <c r="BB60" t="n">
        <v>21458669.8956241</v>
      </c>
      <c r="BC60" t="n">
        <v>73077016.6323891</v>
      </c>
      <c r="BD60" t="n">
        <v>22470702.4555131</v>
      </c>
      <c r="BE60" t="n">
        <v>1731220.97085396</v>
      </c>
      <c r="BF60" t="n">
        <v>678833.135808954</v>
      </c>
      <c r="BG60" t="n">
        <v>17011524.0241301</v>
      </c>
      <c r="BH60" t="n">
        <v>56802579.2121029</v>
      </c>
      <c r="BI60" t="n">
        <v>6032227.32497604</v>
      </c>
      <c r="BJ60" t="n">
        <v>3262434.52503275</v>
      </c>
      <c r="BK60" t="n">
        <v>2351723.85594359</v>
      </c>
      <c r="BL60" t="n">
        <v>3366175.0160232</v>
      </c>
      <c r="BM60" t="n">
        <v>2481044.59126878</v>
      </c>
      <c r="BN60" t="n">
        <v>7327938.85966298</v>
      </c>
      <c r="BO60" t="n">
        <v>15017534.6069378</v>
      </c>
      <c r="BP60" t="n">
        <v>0</v>
      </c>
      <c r="BQ60" t="n">
        <v>313950.661248539</v>
      </c>
      <c r="BR60" t="n">
        <v>202025.973950063</v>
      </c>
      <c r="BS60" t="n">
        <v>52987289.7196576</v>
      </c>
      <c r="BT60" t="n">
        <v>2951701.25281523</v>
      </c>
      <c r="BU60" t="n">
        <v>318306022.983637</v>
      </c>
      <c r="BV60" t="n">
        <v>0</v>
      </c>
      <c r="BW60" t="n">
        <v>0</v>
      </c>
      <c r="BX60" t="n">
        <v>0</v>
      </c>
      <c r="BY60" t="n">
        <v>67401230.5901807</v>
      </c>
      <c r="BZ60" t="n">
        <v>0</v>
      </c>
      <c r="CA60" t="n">
        <v>45830431.3544287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3178862.44415319</v>
      </c>
      <c r="C61" t="n">
        <v>168203.667281356</v>
      </c>
      <c r="D61" t="n">
        <v>3008502.38473261</v>
      </c>
      <c r="E61" t="n">
        <v>2275597.60825133</v>
      </c>
      <c r="F61" t="n">
        <v>444933.551730066</v>
      </c>
      <c r="G61" t="n">
        <v>18396038.0720279</v>
      </c>
      <c r="H61" t="n">
        <v>19997898.1930954</v>
      </c>
      <c r="I61" t="n">
        <v>5315521.36937896</v>
      </c>
      <c r="J61" t="n">
        <v>1760820.15258464</v>
      </c>
      <c r="K61" t="n">
        <v>6948547.01183276</v>
      </c>
      <c r="L61" t="n">
        <v>13110425.8812017</v>
      </c>
      <c r="M61" t="n">
        <v>13946666.3263557</v>
      </c>
      <c r="N61" t="n">
        <v>293921.245843782</v>
      </c>
      <c r="O61" t="n">
        <v>803344.855888179</v>
      </c>
      <c r="P61" t="n">
        <v>1502572.07801282</v>
      </c>
      <c r="Q61" t="n">
        <v>9257332.78368289</v>
      </c>
      <c r="R61" t="n">
        <v>1383980.48684532</v>
      </c>
      <c r="S61" t="n">
        <v>873399.78794163</v>
      </c>
      <c r="T61" t="n">
        <v>16146576.7429881</v>
      </c>
      <c r="U61" t="n">
        <v>214520.578414852</v>
      </c>
      <c r="V61" t="n">
        <v>42618.0098975663</v>
      </c>
      <c r="W61" t="n">
        <v>5790270.7860902</v>
      </c>
      <c r="X61" t="n">
        <v>2538578.1069648</v>
      </c>
      <c r="Y61" t="n">
        <v>1520494.82591428</v>
      </c>
      <c r="Z61" t="n">
        <v>920013.487021771</v>
      </c>
      <c r="AA61" t="n">
        <v>6537966.96474743</v>
      </c>
      <c r="AB61" t="n">
        <v>115892992.197806</v>
      </c>
      <c r="AC61" t="n">
        <v>26141842.0951969</v>
      </c>
      <c r="AD61" t="n">
        <v>4377851.86688143</v>
      </c>
      <c r="AE61" t="n">
        <v>16704325.7124285</v>
      </c>
      <c r="AF61" t="n">
        <v>24665702.9919571</v>
      </c>
      <c r="AG61" t="n">
        <v>347450.187007207</v>
      </c>
      <c r="AH61" t="n">
        <v>16386675.1663532</v>
      </c>
      <c r="AI61" t="n">
        <v>24828.8763044081</v>
      </c>
      <c r="AJ61" t="n">
        <v>9174248.1993088</v>
      </c>
      <c r="AK61" t="n">
        <v>433459.715939393</v>
      </c>
      <c r="AL61" t="n">
        <v>32115.2884043096</v>
      </c>
      <c r="AM61" t="n">
        <v>1161731.41624846</v>
      </c>
      <c r="AN61" t="n">
        <v>1640979.71059104</v>
      </c>
      <c r="AO61" t="n">
        <v>6987273.17856515</v>
      </c>
      <c r="AP61" t="n">
        <v>553789.677625883</v>
      </c>
      <c r="AQ61" t="n">
        <v>7806053.73776064</v>
      </c>
      <c r="AR61" t="n">
        <v>15971841.2847749</v>
      </c>
      <c r="AS61" t="n">
        <v>27979018.3503172</v>
      </c>
      <c r="AT61" t="n">
        <v>10415697.4568648</v>
      </c>
      <c r="AU61" t="n">
        <v>22943658.75959</v>
      </c>
      <c r="AV61" t="n">
        <v>2711492.95828135</v>
      </c>
      <c r="AW61" t="n">
        <v>3154749.06546272</v>
      </c>
      <c r="AX61" t="n">
        <v>9179257.79356596</v>
      </c>
      <c r="AY61" t="n">
        <v>2020441.17940593</v>
      </c>
      <c r="AZ61" t="n">
        <v>7937752.37078204</v>
      </c>
      <c r="BA61" t="n">
        <v>16425271.017679</v>
      </c>
      <c r="BB61" t="n">
        <v>23294510.3129328</v>
      </c>
      <c r="BC61" t="n">
        <v>22567307.5410817</v>
      </c>
      <c r="BD61" t="n">
        <v>67510758.9804664</v>
      </c>
      <c r="BE61" t="n">
        <v>2945879.21000553</v>
      </c>
      <c r="BF61" t="n">
        <v>3911423.03677174</v>
      </c>
      <c r="BG61" t="n">
        <v>22636092.7195097</v>
      </c>
      <c r="BH61" t="n">
        <v>24085262.3375781</v>
      </c>
      <c r="BI61" t="n">
        <v>5897078.91924166</v>
      </c>
      <c r="BJ61" t="n">
        <v>10496829.5728625</v>
      </c>
      <c r="BK61" t="n">
        <v>818145.8281302</v>
      </c>
      <c r="BL61" t="n">
        <v>2962622.31936333</v>
      </c>
      <c r="BM61" t="n">
        <v>3223655.60703322</v>
      </c>
      <c r="BN61" t="n">
        <v>25459012.0265389</v>
      </c>
      <c r="BO61" t="n">
        <v>16714539.8434148</v>
      </c>
      <c r="BP61" t="n">
        <v>10426889.9779482</v>
      </c>
      <c r="BQ61" t="n">
        <v>47323804.7337778</v>
      </c>
      <c r="BR61" t="n">
        <v>484671.383856093</v>
      </c>
      <c r="BS61" t="n">
        <v>204033553.059145</v>
      </c>
      <c r="BT61" t="n">
        <v>17842119.0512518</v>
      </c>
      <c r="BU61" t="n">
        <v>0</v>
      </c>
      <c r="BV61" t="n">
        <v>0</v>
      </c>
      <c r="BW61" t="n">
        <v>107002767.716546</v>
      </c>
      <c r="BX61" t="n">
        <v>610049691.438461</v>
      </c>
      <c r="BY61" t="n">
        <v>0</v>
      </c>
      <c r="BZ61" t="n">
        <v>0</v>
      </c>
      <c r="CA61" t="n">
        <v>126578540.257694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6341250.18326967</v>
      </c>
      <c r="CN61" t="n">
        <v>44071436.9369417</v>
      </c>
    </row>
    <row r="62">
      <c r="A62" t="s">
        <v>173</v>
      </c>
      <c r="B62" t="n">
        <v>3718430.64396561</v>
      </c>
      <c r="C62" t="n">
        <v>675176.042766146</v>
      </c>
      <c r="D62" t="n">
        <v>655123.826715254</v>
      </c>
      <c r="E62" t="n">
        <v>1746733.89135736</v>
      </c>
      <c r="F62" t="n">
        <v>1954232.44640309</v>
      </c>
      <c r="G62" t="n">
        <v>30953504.1215652</v>
      </c>
      <c r="H62" t="n">
        <v>47613045.9324744</v>
      </c>
      <c r="I62" t="n">
        <v>7206061.78559702</v>
      </c>
      <c r="J62" t="n">
        <v>2876953.76643453</v>
      </c>
      <c r="K62" t="n">
        <v>13501594.5924993</v>
      </c>
      <c r="L62" t="n">
        <v>10990988.7191641</v>
      </c>
      <c r="M62" t="n">
        <v>8160938.56414996</v>
      </c>
      <c r="N62" t="n">
        <v>855016.173207938</v>
      </c>
      <c r="O62" t="n">
        <v>2679558.62005733</v>
      </c>
      <c r="P62" t="n">
        <v>3085195.86874657</v>
      </c>
      <c r="Q62" t="n">
        <v>4181457.02506424</v>
      </c>
      <c r="R62" t="n">
        <v>2699213.86429672</v>
      </c>
      <c r="S62" t="n">
        <v>1876921.84168018</v>
      </c>
      <c r="T62" t="n">
        <v>38075350.1884591</v>
      </c>
      <c r="U62" t="n">
        <v>392466.31562048</v>
      </c>
      <c r="V62" t="n">
        <v>177406.282970768</v>
      </c>
      <c r="W62" t="n">
        <v>11254340.3229372</v>
      </c>
      <c r="X62" t="n">
        <v>2451946.5384338</v>
      </c>
      <c r="Y62" t="n">
        <v>1623496.09286149</v>
      </c>
      <c r="Z62" t="n">
        <v>6339381.56184203</v>
      </c>
      <c r="AA62" t="n">
        <v>12311468.6261329</v>
      </c>
      <c r="AB62" t="n">
        <v>198528011.86097</v>
      </c>
      <c r="AC62" t="n">
        <v>40338306.3434875</v>
      </c>
      <c r="AD62" t="n">
        <v>13053400.4686899</v>
      </c>
      <c r="AE62" t="n">
        <v>13885639.6666309</v>
      </c>
      <c r="AF62" t="n">
        <v>70703062.4038359</v>
      </c>
      <c r="AG62" t="n">
        <v>320014.993216352</v>
      </c>
      <c r="AH62" t="n">
        <v>7029000.88094965</v>
      </c>
      <c r="AI62" t="n">
        <v>187488.790260268</v>
      </c>
      <c r="AJ62" t="n">
        <v>11408986.0975005</v>
      </c>
      <c r="AK62" t="n">
        <v>613495.728881712</v>
      </c>
      <c r="AL62" t="n">
        <v>805366.637894646</v>
      </c>
      <c r="AM62" t="n">
        <v>2881047.15057729</v>
      </c>
      <c r="AN62" t="n">
        <v>2992791.47760224</v>
      </c>
      <c r="AO62" t="n">
        <v>5244212.02992565</v>
      </c>
      <c r="AP62" t="n">
        <v>1434375.26029276</v>
      </c>
      <c r="AQ62" t="n">
        <v>18768141.2166312</v>
      </c>
      <c r="AR62" t="n">
        <v>14453904.2692569</v>
      </c>
      <c r="AS62" t="n">
        <v>44940900.8028729</v>
      </c>
      <c r="AT62" t="n">
        <v>12432885.0839116</v>
      </c>
      <c r="AU62" t="n">
        <v>32395732.3879223</v>
      </c>
      <c r="AV62" t="n">
        <v>1718327.51620909</v>
      </c>
      <c r="AW62" t="n">
        <v>2636760.27010929</v>
      </c>
      <c r="AX62" t="n">
        <v>31593143.3031645</v>
      </c>
      <c r="AY62" t="n">
        <v>8335834.65265987</v>
      </c>
      <c r="AZ62" t="n">
        <v>5348006.10346988</v>
      </c>
      <c r="BA62" t="n">
        <v>16510570.4196863</v>
      </c>
      <c r="BB62" t="n">
        <v>77027387.4318108</v>
      </c>
      <c r="BC62" t="n">
        <v>120698189.276024</v>
      </c>
      <c r="BD62" t="n">
        <v>54996940.1286488</v>
      </c>
      <c r="BE62" t="n">
        <v>3853489.00459415</v>
      </c>
      <c r="BF62" t="n">
        <v>4908006.71122723</v>
      </c>
      <c r="BG62" t="n">
        <v>36235625.5785389</v>
      </c>
      <c r="BH62" t="n">
        <v>48904378.6670559</v>
      </c>
      <c r="BI62" t="n">
        <v>11584410.4367107</v>
      </c>
      <c r="BJ62" t="n">
        <v>9848865.58981828</v>
      </c>
      <c r="BK62" t="n">
        <v>3120848.91392319</v>
      </c>
      <c r="BL62" t="n">
        <v>5225878.69445287</v>
      </c>
      <c r="BM62" t="n">
        <v>6543450.05290873</v>
      </c>
      <c r="BN62" t="n">
        <v>31100094.7355421</v>
      </c>
      <c r="BO62" t="n">
        <v>34847864.2069071</v>
      </c>
      <c r="BP62" t="n">
        <v>32310570.8216008</v>
      </c>
      <c r="BQ62" t="n">
        <v>9250810.97652584</v>
      </c>
      <c r="BR62" t="n">
        <v>1629555.49909562</v>
      </c>
      <c r="BS62" t="n">
        <v>109382865.651577</v>
      </c>
      <c r="BT62" t="n">
        <v>20128028.4550948</v>
      </c>
      <c r="BU62" t="n">
        <v>95658443.0799144</v>
      </c>
      <c r="BV62" t="n">
        <v>0</v>
      </c>
      <c r="BW62" t="n">
        <v>30750202.116089</v>
      </c>
      <c r="BX62" t="n">
        <v>299605265.538897</v>
      </c>
      <c r="BY62" t="n">
        <v>3818804.99922806</v>
      </c>
      <c r="BZ62" t="n">
        <v>0</v>
      </c>
      <c r="CA62" t="n">
        <v>526433346.238332</v>
      </c>
      <c r="CB62" t="n">
        <v>0</v>
      </c>
      <c r="CC62" t="n">
        <v>0</v>
      </c>
      <c r="CD62" t="n">
        <v>0</v>
      </c>
      <c r="CE62" t="n">
        <v>0</v>
      </c>
      <c r="CF62" t="n">
        <v>1083580.75023701</v>
      </c>
      <c r="CG62" t="n">
        <v>0</v>
      </c>
      <c r="CH62" t="n">
        <v>0</v>
      </c>
      <c r="CI62" t="n">
        <v>0</v>
      </c>
      <c r="CJ62" t="n">
        <v>2483147.32579413</v>
      </c>
      <c r="CK62" t="n">
        <v>0</v>
      </c>
      <c r="CL62" t="n">
        <v>0</v>
      </c>
      <c r="CM62" t="n">
        <v>0</v>
      </c>
      <c r="CN62" t="n">
        <v>27303161.699906</v>
      </c>
    </row>
    <row r="63">
      <c r="A63" t="s">
        <v>174</v>
      </c>
      <c r="B63" t="n">
        <v>0</v>
      </c>
      <c r="C63" t="n">
        <v>0</v>
      </c>
      <c r="D63" t="n">
        <v>21444402.1315937</v>
      </c>
      <c r="E63" t="n">
        <v>27902759.2764111</v>
      </c>
      <c r="F63" t="n">
        <v>21948304.4382563</v>
      </c>
      <c r="G63" t="n">
        <v>555249.425094299</v>
      </c>
      <c r="H63" t="n">
        <v>46972601.7485256</v>
      </c>
      <c r="I63" t="n">
        <v>8992090.80801829</v>
      </c>
      <c r="J63" t="n">
        <v>11891103.2387645</v>
      </c>
      <c r="K63" t="n">
        <v>24505989.301076</v>
      </c>
      <c r="L63" t="n">
        <v>43734760.5518876</v>
      </c>
      <c r="M63" t="n">
        <v>98677695.7803074</v>
      </c>
      <c r="N63" t="n">
        <v>3057621.63553026</v>
      </c>
      <c r="O63" t="n">
        <v>18172210.3769605</v>
      </c>
      <c r="P63" t="n">
        <v>20780894.2080696</v>
      </c>
      <c r="Q63" t="n">
        <v>17247384.2192963</v>
      </c>
      <c r="R63" t="n">
        <v>3005697.70423686</v>
      </c>
      <c r="S63" t="n">
        <v>8879169.95503098</v>
      </c>
      <c r="T63" t="n">
        <v>364430602.120752</v>
      </c>
      <c r="U63" t="n">
        <v>2221163.44329632</v>
      </c>
      <c r="V63" t="n">
        <v>1604862.04186218</v>
      </c>
      <c r="W63" t="n">
        <v>47330619.8743371</v>
      </c>
      <c r="X63" t="n">
        <v>2940145.62201075</v>
      </c>
      <c r="Y63" t="n">
        <v>13715019.6855717</v>
      </c>
      <c r="Z63" t="n">
        <v>55636350.9828133</v>
      </c>
      <c r="AA63" t="n">
        <v>24809550.0943967</v>
      </c>
      <c r="AB63" t="n">
        <v>632268052.364239</v>
      </c>
      <c r="AC63" t="n">
        <v>13159343.0857391</v>
      </c>
      <c r="AD63" t="n">
        <v>26472321.4766218</v>
      </c>
      <c r="AE63" t="n">
        <v>130261251.605418</v>
      </c>
      <c r="AF63" t="n">
        <v>128044424.330818</v>
      </c>
      <c r="AG63" t="n">
        <v>5332422.87473837</v>
      </c>
      <c r="AH63" t="n">
        <v>200858.441145246</v>
      </c>
      <c r="AI63" t="n">
        <v>621400.076467692</v>
      </c>
      <c r="AJ63" t="n">
        <v>59099874.2250183</v>
      </c>
      <c r="AK63" t="n">
        <v>413505.309773355</v>
      </c>
      <c r="AL63" t="n">
        <v>6922.72805888351</v>
      </c>
      <c r="AM63" t="n">
        <v>36142150.4123141</v>
      </c>
      <c r="AN63" t="n">
        <v>8782889.64378918</v>
      </c>
      <c r="AO63" t="n">
        <v>4315185.85592029</v>
      </c>
      <c r="AP63" t="n">
        <v>487415.952752261</v>
      </c>
      <c r="AQ63" t="n">
        <v>9191097.66493318</v>
      </c>
      <c r="AR63" t="n">
        <v>5316242.34201882</v>
      </c>
      <c r="AS63" t="n">
        <v>28816451.286594</v>
      </c>
      <c r="AT63" t="n">
        <v>20823692.90849</v>
      </c>
      <c r="AU63" t="n">
        <v>21709986.0293867</v>
      </c>
      <c r="AV63" t="n">
        <v>2567292.53519452</v>
      </c>
      <c r="AW63" t="n">
        <v>106255.224143907</v>
      </c>
      <c r="AX63" t="n">
        <v>55957884.1546667</v>
      </c>
      <c r="AY63" t="n">
        <v>41897828.6059697</v>
      </c>
      <c r="AZ63" t="n">
        <v>9768643.46450269</v>
      </c>
      <c r="BA63" t="n">
        <v>11981119.5112161</v>
      </c>
      <c r="BB63" t="n">
        <v>43258723.2689745</v>
      </c>
      <c r="BC63" t="n">
        <v>601332.201658584</v>
      </c>
      <c r="BD63" t="n">
        <v>94006878.6153338</v>
      </c>
      <c r="BE63" t="n">
        <v>22129401.6306343</v>
      </c>
      <c r="BF63" t="n">
        <v>19020039.1832879</v>
      </c>
      <c r="BG63" t="n">
        <v>285724490.547773</v>
      </c>
      <c r="BH63" t="n">
        <v>60129510.3316275</v>
      </c>
      <c r="BI63" t="n">
        <v>40152014.4718975</v>
      </c>
      <c r="BJ63" t="n">
        <v>14986001.4342662</v>
      </c>
      <c r="BK63" t="n">
        <v>6699877.85407771</v>
      </c>
      <c r="BL63" t="n">
        <v>8477048.32884617</v>
      </c>
      <c r="BM63" t="n">
        <v>67130957.4607183</v>
      </c>
      <c r="BN63" t="n">
        <v>265336068.168476</v>
      </c>
      <c r="BO63" t="n">
        <v>59681694.0847492</v>
      </c>
      <c r="BP63" t="n">
        <v>0</v>
      </c>
      <c r="BQ63" t="n">
        <v>0</v>
      </c>
      <c r="BR63" t="n">
        <v>846077.09501968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61382221.1044869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2626364.79831769</v>
      </c>
      <c r="C64" t="n">
        <v>143839.591060602</v>
      </c>
      <c r="D64" t="n">
        <v>286529.746948225</v>
      </c>
      <c r="E64" t="n">
        <v>1756781.806124</v>
      </c>
      <c r="F64" t="n">
        <v>5923305.76305919</v>
      </c>
      <c r="G64" t="n">
        <v>70898510.6741949</v>
      </c>
      <c r="H64" t="n">
        <v>24004279.9717013</v>
      </c>
      <c r="I64" t="n">
        <v>8680382.32566476</v>
      </c>
      <c r="J64" t="n">
        <v>4179923.58003063</v>
      </c>
      <c r="K64" t="n">
        <v>60879921.9861163</v>
      </c>
      <c r="L64" t="n">
        <v>61588390.5567029</v>
      </c>
      <c r="M64" t="n">
        <v>17402337.438058</v>
      </c>
      <c r="N64" t="n">
        <v>1152822.38637261</v>
      </c>
      <c r="O64" t="n">
        <v>2954469.148069</v>
      </c>
      <c r="P64" t="n">
        <v>6062495.65772752</v>
      </c>
      <c r="Q64" t="n">
        <v>18929583.6863793</v>
      </c>
      <c r="R64" t="n">
        <v>1590920.87784405</v>
      </c>
      <c r="S64" t="n">
        <v>2592901.6596083</v>
      </c>
      <c r="T64" t="n">
        <v>36981117.9126688</v>
      </c>
      <c r="U64" t="n">
        <v>432853.792240834</v>
      </c>
      <c r="V64" t="n">
        <v>1150513.83434431</v>
      </c>
      <c r="W64" t="n">
        <v>20280027.3502097</v>
      </c>
      <c r="X64" t="n">
        <v>13662305.8987299</v>
      </c>
      <c r="Y64" t="n">
        <v>4284886.63693706</v>
      </c>
      <c r="Z64" t="n">
        <v>10264964.9856041</v>
      </c>
      <c r="AA64" t="n">
        <v>17106596.3493651</v>
      </c>
      <c r="AB64" t="n">
        <v>322523583.62846</v>
      </c>
      <c r="AC64" t="n">
        <v>31203881.0769177</v>
      </c>
      <c r="AD64" t="n">
        <v>11119701.9304254</v>
      </c>
      <c r="AE64" t="n">
        <v>38115960.6897823</v>
      </c>
      <c r="AF64" t="n">
        <v>66243161.8279463</v>
      </c>
      <c r="AG64" t="n">
        <v>2686740.21869706</v>
      </c>
      <c r="AH64" t="n">
        <v>8841645.54678335</v>
      </c>
      <c r="AI64" t="n">
        <v>1606899.39757382</v>
      </c>
      <c r="AJ64" t="n">
        <v>97401384.6516735</v>
      </c>
      <c r="AK64" t="n">
        <v>8629868.92350622</v>
      </c>
      <c r="AL64" t="n">
        <v>3957965.17629825</v>
      </c>
      <c r="AM64" t="n">
        <v>34703351.2003991</v>
      </c>
      <c r="AN64" t="n">
        <v>21154348.7611741</v>
      </c>
      <c r="AO64" t="n">
        <v>13848401.9871746</v>
      </c>
      <c r="AP64" t="n">
        <v>1085636.2296234</v>
      </c>
      <c r="AQ64" t="n">
        <v>54645650.6325187</v>
      </c>
      <c r="AR64" t="n">
        <v>23267068.0821471</v>
      </c>
      <c r="AS64" t="n">
        <v>66794790.7902036</v>
      </c>
      <c r="AT64" t="n">
        <v>14111842.6488071</v>
      </c>
      <c r="AU64" t="n">
        <v>30201838.0038117</v>
      </c>
      <c r="AV64" t="n">
        <v>212010.649998705</v>
      </c>
      <c r="AW64" t="n">
        <v>8927026.04255259</v>
      </c>
      <c r="AX64" t="n">
        <v>245744725.735235</v>
      </c>
      <c r="AY64" t="n">
        <v>56989481.5410032</v>
      </c>
      <c r="AZ64" t="n">
        <v>15514864.8982828</v>
      </c>
      <c r="BA64" t="n">
        <v>56149270.7043882</v>
      </c>
      <c r="BB64" t="n">
        <v>101998348.845815</v>
      </c>
      <c r="BC64" t="n">
        <v>139060540.820816</v>
      </c>
      <c r="BD64" t="n">
        <v>276905170.924627</v>
      </c>
      <c r="BE64" t="n">
        <v>21031998.6825004</v>
      </c>
      <c r="BF64" t="n">
        <v>9152641.25843113</v>
      </c>
      <c r="BG64" t="n">
        <v>119784931.470454</v>
      </c>
      <c r="BH64" t="n">
        <v>155238055.398885</v>
      </c>
      <c r="BI64" t="n">
        <v>41992619.9332132</v>
      </c>
      <c r="BJ64" t="n">
        <v>17206882.7930199</v>
      </c>
      <c r="BK64" t="n">
        <v>6319933.72986303</v>
      </c>
      <c r="BL64" t="n">
        <v>6330003.88811426</v>
      </c>
      <c r="BM64" t="n">
        <v>12758174.5044854</v>
      </c>
      <c r="BN64" t="n">
        <v>41684907.2809584</v>
      </c>
      <c r="BO64" t="n">
        <v>64204888.2906205</v>
      </c>
      <c r="BP64" t="n">
        <v>11524850.2120203</v>
      </c>
      <c r="BQ64" t="n">
        <v>33480134.020367</v>
      </c>
      <c r="BR64" t="n">
        <v>1966821.58895893</v>
      </c>
      <c r="BS64" t="n">
        <v>197027360.444837</v>
      </c>
      <c r="BT64" t="n">
        <v>21091828.065148</v>
      </c>
      <c r="BU64" t="n">
        <v>267863263.809374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17094622.3436332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309320.041915926</v>
      </c>
      <c r="C65" t="n">
        <v>3014.60546338877</v>
      </c>
      <c r="D65" t="n">
        <v>104947.253704872</v>
      </c>
      <c r="E65" t="n">
        <v>101267.598221208</v>
      </c>
      <c r="F65" t="n">
        <v>125697.903189411</v>
      </c>
      <c r="G65" t="n">
        <v>1113654.29270533</v>
      </c>
      <c r="H65" t="n">
        <v>1715705.34349561</v>
      </c>
      <c r="I65" t="n">
        <v>517063.190089055</v>
      </c>
      <c r="J65" t="n">
        <v>261860.8146524</v>
      </c>
      <c r="K65" t="n">
        <v>1314948.14401556</v>
      </c>
      <c r="L65" t="n">
        <v>694192.240443812</v>
      </c>
      <c r="M65" t="n">
        <v>423948.081583182</v>
      </c>
      <c r="N65" t="n">
        <v>14229.1500579499</v>
      </c>
      <c r="O65" t="n">
        <v>98918.4240027422</v>
      </c>
      <c r="P65" t="n">
        <v>102095.355319397</v>
      </c>
      <c r="Q65" t="n">
        <v>197549.934052956</v>
      </c>
      <c r="R65" t="n">
        <v>124577.08028796</v>
      </c>
      <c r="S65" t="n">
        <v>48174.6236549704</v>
      </c>
      <c r="T65" t="n">
        <v>3522661.43746693</v>
      </c>
      <c r="U65" t="n">
        <v>31448.8923206945</v>
      </c>
      <c r="V65" t="n">
        <v>1188.15667916495</v>
      </c>
      <c r="W65" t="n">
        <v>1196183.01126097</v>
      </c>
      <c r="X65" t="n">
        <v>116602.3504288</v>
      </c>
      <c r="Y65" t="n">
        <v>271297.298003429</v>
      </c>
      <c r="Z65" t="n">
        <v>891042.158646205</v>
      </c>
      <c r="AA65" t="n">
        <v>758068.625418243</v>
      </c>
      <c r="AB65" t="n">
        <v>3165960.14943433</v>
      </c>
      <c r="AC65" t="n">
        <v>1096172.53206939</v>
      </c>
      <c r="AD65" t="n">
        <v>404767.399916209</v>
      </c>
      <c r="AE65" t="n">
        <v>507356.867628331</v>
      </c>
      <c r="AF65" t="n">
        <v>1074429.33456694</v>
      </c>
      <c r="AG65" t="n">
        <v>22034.4416847508</v>
      </c>
      <c r="AH65" t="n">
        <v>488932.717348195</v>
      </c>
      <c r="AI65" t="n">
        <v>788.593205386185</v>
      </c>
      <c r="AJ65" t="n">
        <v>2371482.5195987</v>
      </c>
      <c r="AK65" t="n">
        <v>16046.6534573774</v>
      </c>
      <c r="AL65" t="n">
        <v>107724.627088791</v>
      </c>
      <c r="AM65" t="n">
        <v>285470.852021757</v>
      </c>
      <c r="AN65" t="n">
        <v>251323.674878252</v>
      </c>
      <c r="AO65" t="n">
        <v>11344.9934782091</v>
      </c>
      <c r="AP65" t="n">
        <v>9157.36073711991</v>
      </c>
      <c r="AQ65" t="n">
        <v>37666.1516225536</v>
      </c>
      <c r="AR65" t="n">
        <v>24370.4208602828</v>
      </c>
      <c r="AS65" t="n">
        <v>383730.358970734</v>
      </c>
      <c r="AT65" t="n">
        <v>39864.2419121128</v>
      </c>
      <c r="AU65" t="n">
        <v>1087718.48595786</v>
      </c>
      <c r="AV65" t="n">
        <v>176942.390936895</v>
      </c>
      <c r="AW65" t="n">
        <v>2603.83999813983</v>
      </c>
      <c r="AX65" t="n">
        <v>28398811.9568137</v>
      </c>
      <c r="AY65" t="n">
        <v>541689.0968516</v>
      </c>
      <c r="AZ65" t="n">
        <v>149475.068107907</v>
      </c>
      <c r="BA65" t="n">
        <v>173159.043287566</v>
      </c>
      <c r="BB65" t="n">
        <v>1147828.34821675</v>
      </c>
      <c r="BC65" t="n">
        <v>1577293.60314922</v>
      </c>
      <c r="BD65" t="n">
        <v>2338861.94831806</v>
      </c>
      <c r="BE65" t="n">
        <v>16444837.3882213</v>
      </c>
      <c r="BF65" t="n">
        <v>158673.769654958</v>
      </c>
      <c r="BG65" t="n">
        <v>2174093.23576753</v>
      </c>
      <c r="BH65" t="n">
        <v>2435182.25164768</v>
      </c>
      <c r="BI65" t="n">
        <v>1073565.56011265</v>
      </c>
      <c r="BJ65" t="n">
        <v>675840.544442154</v>
      </c>
      <c r="BK65" t="n">
        <v>48226.6554693632</v>
      </c>
      <c r="BL65" t="n">
        <v>334196.842779874</v>
      </c>
      <c r="BM65" t="n">
        <v>676469.145825531</v>
      </c>
      <c r="BN65" t="n">
        <v>2195210.25739987</v>
      </c>
      <c r="BO65" t="n">
        <v>1858703.7240095</v>
      </c>
      <c r="BP65" t="n">
        <v>55123.4050247561</v>
      </c>
      <c r="BQ65" t="n">
        <v>1001120.09994713</v>
      </c>
      <c r="BR65" t="n">
        <v>237239.80715136</v>
      </c>
      <c r="BS65" t="n">
        <v>33897358.723779</v>
      </c>
      <c r="BT65" t="n">
        <v>3818044.68061004</v>
      </c>
      <c r="BU65" t="n">
        <v>37518805.9104356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2200182.97379138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5342.15580156939</v>
      </c>
      <c r="C66" t="n">
        <v>0</v>
      </c>
      <c r="D66" t="n">
        <v>0</v>
      </c>
      <c r="E66" t="n">
        <v>0</v>
      </c>
      <c r="F66" t="n">
        <v>0</v>
      </c>
      <c r="G66" t="n">
        <v>336279.383894765</v>
      </c>
      <c r="H66" t="n">
        <v>5971.33332411285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45400.6134746119</v>
      </c>
      <c r="Y66" t="n">
        <v>4988.77966159038</v>
      </c>
      <c r="Z66" t="n">
        <v>0</v>
      </c>
      <c r="AA66" t="n">
        <v>4163.36159887291</v>
      </c>
      <c r="AB66" t="n">
        <v>3495344.75379252</v>
      </c>
      <c r="AC66" t="n">
        <v>170200.928305347</v>
      </c>
      <c r="AD66" t="n">
        <v>799010.655262232</v>
      </c>
      <c r="AE66" t="n">
        <v>0</v>
      </c>
      <c r="AF66" t="n">
        <v>4336796.43214869</v>
      </c>
      <c r="AG66" t="n">
        <v>39461.2726658181</v>
      </c>
      <c r="AH66" t="n">
        <v>45054.5285067258</v>
      </c>
      <c r="AI66" t="n">
        <v>0</v>
      </c>
      <c r="AJ66" t="n">
        <v>0</v>
      </c>
      <c r="AK66" t="n">
        <v>0</v>
      </c>
      <c r="AL66" t="n">
        <v>5823.13556679952</v>
      </c>
      <c r="AM66" t="n">
        <v>49614.6918234707</v>
      </c>
      <c r="AN66" t="n">
        <v>0</v>
      </c>
      <c r="AO66" t="n">
        <v>0</v>
      </c>
      <c r="AP66" t="n">
        <v>0</v>
      </c>
      <c r="AQ66" t="n">
        <v>11242.6589602698</v>
      </c>
      <c r="AR66" t="n">
        <v>53059.552903427</v>
      </c>
      <c r="AS66" t="n">
        <v>49984.9077742732</v>
      </c>
      <c r="AT66" t="n">
        <v>3648.94963288013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73693.7727884656</v>
      </c>
      <c r="BB66" t="n">
        <v>30181.9410542658</v>
      </c>
      <c r="BC66" t="n">
        <v>0</v>
      </c>
      <c r="BD66" t="n">
        <v>378405.695251385</v>
      </c>
      <c r="BE66" t="n">
        <v>0</v>
      </c>
      <c r="BF66" t="n">
        <v>2010961.50736241</v>
      </c>
      <c r="BG66" t="n">
        <v>0</v>
      </c>
      <c r="BH66" t="n">
        <v>9150.36767478725</v>
      </c>
      <c r="BI66" t="n">
        <v>0</v>
      </c>
      <c r="BJ66" t="n">
        <v>0</v>
      </c>
      <c r="BK66" t="n">
        <v>1689972.2573278</v>
      </c>
      <c r="BL66" t="n">
        <v>249149.113320336</v>
      </c>
      <c r="BM66" t="n">
        <v>0</v>
      </c>
      <c r="BN66" t="n">
        <v>0</v>
      </c>
      <c r="BO66" t="n">
        <v>3621399.24214359</v>
      </c>
      <c r="BP66" t="n">
        <v>0</v>
      </c>
      <c r="BQ66" t="n">
        <v>28387.5278154925</v>
      </c>
      <c r="BR66" t="n">
        <v>166972.924615271</v>
      </c>
      <c r="BS66" t="n">
        <v>18674348.8510261</v>
      </c>
      <c r="BT66" t="n">
        <v>10411.5922076434</v>
      </c>
      <c r="BU66" t="n">
        <v>653012368.655303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10893649.2590409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261856.888152915</v>
      </c>
      <c r="BC67" t="n">
        <v>0</v>
      </c>
      <c r="BD67" t="n">
        <v>516116.155419223</v>
      </c>
      <c r="BE67" t="n">
        <v>0</v>
      </c>
      <c r="BF67" t="n">
        <v>0</v>
      </c>
      <c r="BG67" t="n">
        <v>114734421.76836</v>
      </c>
      <c r="BH67" t="n">
        <v>87398262.5740039</v>
      </c>
      <c r="BI67" t="n">
        <v>725174.013921114</v>
      </c>
      <c r="BJ67" t="n">
        <v>8391.87496596417</v>
      </c>
      <c r="BK67" t="n">
        <v>294050.914888014</v>
      </c>
      <c r="BL67" t="n">
        <v>10648.2967072779</v>
      </c>
      <c r="BM67" t="n">
        <v>0</v>
      </c>
      <c r="BN67" t="n">
        <v>0</v>
      </c>
      <c r="BO67" t="n">
        <v>362432.407546917</v>
      </c>
      <c r="BP67" t="n">
        <v>0</v>
      </c>
      <c r="BQ67" t="n">
        <v>3335252.00445736</v>
      </c>
      <c r="BR67" t="n">
        <v>0</v>
      </c>
      <c r="BS67" t="n">
        <v>82944545.3999112</v>
      </c>
      <c r="BT67" t="n">
        <v>0</v>
      </c>
      <c r="BU67" t="n">
        <v>7259662410.37617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7684055.29514301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6300129.72120418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7186550997.13438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31192654.8680375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10490883.5776568</v>
      </c>
      <c r="BR69" t="n">
        <v>0</v>
      </c>
      <c r="BS69" t="n">
        <v>9935603.2992407</v>
      </c>
      <c r="BT69" t="n">
        <v>0</v>
      </c>
      <c r="BU69" t="n">
        <v>1627818770.8992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2089797.82386159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1580472049.32015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437793.25321508</v>
      </c>
      <c r="C71" t="n">
        <v>0</v>
      </c>
      <c r="D71" t="n">
        <v>0</v>
      </c>
      <c r="E71" t="n">
        <v>0</v>
      </c>
      <c r="F71" t="n">
        <v>68084.7701893825</v>
      </c>
      <c r="G71" t="n">
        <v>689388.897988046</v>
      </c>
      <c r="H71" t="n">
        <v>531128.961424064</v>
      </c>
      <c r="I71" t="n">
        <v>331546.256223041</v>
      </c>
      <c r="J71" t="n">
        <v>126018.428476329</v>
      </c>
      <c r="K71" t="n">
        <v>741075.94378216</v>
      </c>
      <c r="L71" t="n">
        <v>448626.782790425</v>
      </c>
      <c r="M71" t="n">
        <v>275823.747640908</v>
      </c>
      <c r="N71" t="n">
        <v>2857.33152884854</v>
      </c>
      <c r="O71" t="n">
        <v>25610.3550384531</v>
      </c>
      <c r="P71" t="n">
        <v>64139.5294563013</v>
      </c>
      <c r="Q71" t="n">
        <v>51797.9738070594</v>
      </c>
      <c r="R71" t="n">
        <v>64103.7883982403</v>
      </c>
      <c r="S71" t="n">
        <v>38885.1420269725</v>
      </c>
      <c r="T71" t="n">
        <v>979214.96292659</v>
      </c>
      <c r="U71" t="n">
        <v>8298.81895476495</v>
      </c>
      <c r="V71" t="n">
        <v>3260.75365469966</v>
      </c>
      <c r="W71" t="n">
        <v>518333.836028588</v>
      </c>
      <c r="X71" t="n">
        <v>148060.247832481</v>
      </c>
      <c r="Y71" t="n">
        <v>78110.5306706923</v>
      </c>
      <c r="Z71" t="n">
        <v>70982.8287367419</v>
      </c>
      <c r="AA71" t="n">
        <v>757275.981060168</v>
      </c>
      <c r="AB71" t="n">
        <v>14224811.6442846</v>
      </c>
      <c r="AC71" t="n">
        <v>1963423.15044478</v>
      </c>
      <c r="AD71" t="n">
        <v>1421271.18218257</v>
      </c>
      <c r="AE71" t="n">
        <v>556952.055016434</v>
      </c>
      <c r="AF71" t="n">
        <v>1924544.1374757</v>
      </c>
      <c r="AG71" t="n">
        <v>0</v>
      </c>
      <c r="AH71" t="n">
        <v>1377839.20445274</v>
      </c>
      <c r="AI71" t="n">
        <v>0</v>
      </c>
      <c r="AJ71" t="n">
        <v>629830.61141391</v>
      </c>
      <c r="AK71" t="n">
        <v>22019.0589441522</v>
      </c>
      <c r="AL71" t="n">
        <v>0</v>
      </c>
      <c r="AM71" t="n">
        <v>1054504.37105932</v>
      </c>
      <c r="AN71" t="n">
        <v>25681.3510900927</v>
      </c>
      <c r="AO71" t="n">
        <v>131056.524249972</v>
      </c>
      <c r="AP71" t="n">
        <v>6324887.42975411</v>
      </c>
      <c r="AQ71" t="n">
        <v>44642460.7792616</v>
      </c>
      <c r="AR71" t="n">
        <v>472949.166177308</v>
      </c>
      <c r="AS71" t="n">
        <v>7649840.90967226</v>
      </c>
      <c r="AT71" t="n">
        <v>711117.13304319</v>
      </c>
      <c r="AU71" t="n">
        <v>518610.66580177</v>
      </c>
      <c r="AV71" t="n">
        <v>445840.697413268</v>
      </c>
      <c r="AW71" t="n">
        <v>0</v>
      </c>
      <c r="AX71" t="n">
        <v>8923833.70734868</v>
      </c>
      <c r="AY71" t="n">
        <v>642302.342199193</v>
      </c>
      <c r="AZ71" t="n">
        <v>832816.723882083</v>
      </c>
      <c r="BA71" t="n">
        <v>1623794.81179956</v>
      </c>
      <c r="BB71" t="n">
        <v>8793150.78758113</v>
      </c>
      <c r="BC71" t="n">
        <v>30847556.726321</v>
      </c>
      <c r="BD71" t="n">
        <v>6645338.93390912</v>
      </c>
      <c r="BE71" t="n">
        <v>423276.757560851</v>
      </c>
      <c r="BF71" t="n">
        <v>2519581.79997807</v>
      </c>
      <c r="BG71" t="n">
        <v>4127229.57733758</v>
      </c>
      <c r="BH71" t="n">
        <v>5066254.14272083</v>
      </c>
      <c r="BI71" t="n">
        <v>875341.698228083</v>
      </c>
      <c r="BJ71" t="n">
        <v>3859544.43372637</v>
      </c>
      <c r="BK71" t="n">
        <v>27894706.6565661</v>
      </c>
      <c r="BL71" t="n">
        <v>1344019.02217117</v>
      </c>
      <c r="BM71" t="n">
        <v>624737.188255543</v>
      </c>
      <c r="BN71" t="n">
        <v>11754128.8241277</v>
      </c>
      <c r="BO71" t="n">
        <v>5193600.24271655</v>
      </c>
      <c r="BP71" t="n">
        <v>0</v>
      </c>
      <c r="BQ71" t="n">
        <v>50768.1749101515</v>
      </c>
      <c r="BR71" t="n">
        <v>84804.046423662</v>
      </c>
      <c r="BS71" t="n">
        <v>6815182.40481581</v>
      </c>
      <c r="BT71" t="n">
        <v>78039.9666712848</v>
      </c>
      <c r="BU71" t="n">
        <v>246964362.601063</v>
      </c>
      <c r="BV71" t="n">
        <v>0</v>
      </c>
      <c r="BW71" t="n">
        <v>0</v>
      </c>
      <c r="BX71" t="n">
        <v>7730767.99433168</v>
      </c>
      <c r="BY71" t="n">
        <v>0</v>
      </c>
      <c r="BZ71" t="n">
        <v>0</v>
      </c>
      <c r="CA71" t="n">
        <v>3503390.51370869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68847.7258602102</v>
      </c>
      <c r="C72" t="n">
        <v>0</v>
      </c>
      <c r="D72" t="n">
        <v>0</v>
      </c>
      <c r="E72" t="n">
        <v>0</v>
      </c>
      <c r="F72" t="n">
        <v>23691.5096447378</v>
      </c>
      <c r="G72" t="n">
        <v>172859.881864743</v>
      </c>
      <c r="H72" t="n">
        <v>175900.189250055</v>
      </c>
      <c r="I72" t="n">
        <v>48861.9126153367</v>
      </c>
      <c r="J72" t="n">
        <v>29280.2960628777</v>
      </c>
      <c r="K72" t="n">
        <v>79142.5362414507</v>
      </c>
      <c r="L72" t="n">
        <v>75475.747936357</v>
      </c>
      <c r="M72" t="n">
        <v>40033.8548725023</v>
      </c>
      <c r="N72" t="n">
        <v>584.86343599251</v>
      </c>
      <c r="O72" t="n">
        <v>3145.2899518763</v>
      </c>
      <c r="P72" t="n">
        <v>10364.7126335625</v>
      </c>
      <c r="Q72" t="n">
        <v>8481.96735517215</v>
      </c>
      <c r="R72" t="n">
        <v>13121.3202123032</v>
      </c>
      <c r="S72" t="n">
        <v>6367.4788998998</v>
      </c>
      <c r="T72" t="n">
        <v>120260.534420376</v>
      </c>
      <c r="U72" t="n">
        <v>0</v>
      </c>
      <c r="V72" t="n">
        <v>0</v>
      </c>
      <c r="W72" t="n">
        <v>57129.1924998171</v>
      </c>
      <c r="X72" t="n">
        <v>23462.9090878177</v>
      </c>
      <c r="Y72" t="n">
        <v>6123.19476356191</v>
      </c>
      <c r="Z72" t="n">
        <v>11986.7401003828</v>
      </c>
      <c r="AA72" t="n">
        <v>86871.3966933164</v>
      </c>
      <c r="AB72" t="n">
        <v>1293181.43928308</v>
      </c>
      <c r="AC72" t="n">
        <v>20890.3480138956</v>
      </c>
      <c r="AD72" t="n">
        <v>71198.3846123155</v>
      </c>
      <c r="AE72" t="n">
        <v>9500.14869034319</v>
      </c>
      <c r="AF72" t="n">
        <v>617182.409314943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10149.4567735751</v>
      </c>
      <c r="AN72" t="n">
        <v>2252.86371784813</v>
      </c>
      <c r="AO72" t="n">
        <v>12004.9105334459</v>
      </c>
      <c r="AP72" t="n">
        <v>5367.74458395327</v>
      </c>
      <c r="AQ72" t="n">
        <v>32198.0501583316</v>
      </c>
      <c r="AR72" t="n">
        <v>90353.5204607289</v>
      </c>
      <c r="AS72" t="n">
        <v>815804.364349093</v>
      </c>
      <c r="AT72" t="n">
        <v>107488.712511772</v>
      </c>
      <c r="AU72" t="n">
        <v>47235.8728269522</v>
      </c>
      <c r="AV72" t="n">
        <v>23541.2174095137</v>
      </c>
      <c r="AW72" t="n">
        <v>0</v>
      </c>
      <c r="AX72" t="n">
        <v>0</v>
      </c>
      <c r="AY72" t="n">
        <v>103133.529950109</v>
      </c>
      <c r="AZ72" t="n">
        <v>76045.2762187625</v>
      </c>
      <c r="BA72" t="n">
        <v>286428.937564076</v>
      </c>
      <c r="BB72" t="n">
        <v>424516.963983458</v>
      </c>
      <c r="BC72" t="n">
        <v>3876784.37925949</v>
      </c>
      <c r="BD72" t="n">
        <v>919869.191742397</v>
      </c>
      <c r="BE72" t="n">
        <v>68658.084126591</v>
      </c>
      <c r="BF72" t="n">
        <v>56121.3889291695</v>
      </c>
      <c r="BG72" t="n">
        <v>786362.609988443</v>
      </c>
      <c r="BH72" t="n">
        <v>31447.0800974547</v>
      </c>
      <c r="BI72" t="n">
        <v>76039.0787899976</v>
      </c>
      <c r="BJ72" t="n">
        <v>175866.854940947</v>
      </c>
      <c r="BK72" t="n">
        <v>114357.642585669</v>
      </c>
      <c r="BL72" t="n">
        <v>296358.271999865</v>
      </c>
      <c r="BM72" t="n">
        <v>480217.572866661</v>
      </c>
      <c r="BN72" t="n">
        <v>1826247.14680869</v>
      </c>
      <c r="BO72" t="n">
        <v>97814.6832894656</v>
      </c>
      <c r="BP72" t="n">
        <v>5359.36476017347</v>
      </c>
      <c r="BQ72" t="n">
        <v>3667.64859210137</v>
      </c>
      <c r="BR72" t="n">
        <v>1679.84795095769</v>
      </c>
      <c r="BS72" t="n">
        <v>1864458.76549852</v>
      </c>
      <c r="BT72" t="n">
        <v>167725.93141835</v>
      </c>
      <c r="BU72" t="n">
        <v>367546554.06058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78391.3645634226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6864.94190802933</v>
      </c>
      <c r="C73" t="n">
        <v>0</v>
      </c>
      <c r="D73" t="n">
        <v>776.387670225157</v>
      </c>
      <c r="E73" t="n">
        <v>34214.5707837782</v>
      </c>
      <c r="F73" t="n">
        <v>752887.491204686</v>
      </c>
      <c r="G73" t="n">
        <v>8103475.45904486</v>
      </c>
      <c r="H73" t="n">
        <v>1523183.20437924</v>
      </c>
      <c r="I73" t="n">
        <v>1568821.74904051</v>
      </c>
      <c r="J73" t="n">
        <v>801429.048138765</v>
      </c>
      <c r="K73" t="n">
        <v>2796535.30897555</v>
      </c>
      <c r="L73" t="n">
        <v>2560289.0674891</v>
      </c>
      <c r="M73" t="n">
        <v>1502472.53189499</v>
      </c>
      <c r="N73" t="n">
        <v>24493.5101931461</v>
      </c>
      <c r="O73" t="n">
        <v>164652.093881427</v>
      </c>
      <c r="P73" t="n">
        <v>453596.937280339</v>
      </c>
      <c r="Q73" t="n">
        <v>275292.802288873</v>
      </c>
      <c r="R73" t="n">
        <v>423121.230280171</v>
      </c>
      <c r="S73" t="n">
        <v>246664.019770823</v>
      </c>
      <c r="T73" t="n">
        <v>4132132.24592048</v>
      </c>
      <c r="U73" t="n">
        <v>36280.8005825549</v>
      </c>
      <c r="V73" t="n">
        <v>8385.51306409759</v>
      </c>
      <c r="W73" t="n">
        <v>2016548.235018</v>
      </c>
      <c r="X73" t="n">
        <v>1068581.57340061</v>
      </c>
      <c r="Y73" t="n">
        <v>207283.684250677</v>
      </c>
      <c r="Z73" t="n">
        <v>465484.402338608</v>
      </c>
      <c r="AA73" t="n">
        <v>3177978.05390322</v>
      </c>
      <c r="AB73" t="n">
        <v>19340253.8105033</v>
      </c>
      <c r="AC73" t="n">
        <v>231214.954998012</v>
      </c>
      <c r="AD73" t="n">
        <v>278934.993586175</v>
      </c>
      <c r="AE73" t="n">
        <v>487374.776260116</v>
      </c>
      <c r="AF73" t="n">
        <v>1055894.68343896</v>
      </c>
      <c r="AG73" t="n">
        <v>0</v>
      </c>
      <c r="AH73" t="n">
        <v>185271.553960421</v>
      </c>
      <c r="AI73" t="n">
        <v>0</v>
      </c>
      <c r="AJ73" t="n">
        <v>0</v>
      </c>
      <c r="AK73" t="n">
        <v>0</v>
      </c>
      <c r="AL73" t="n">
        <v>19455.8659595771</v>
      </c>
      <c r="AM73" t="n">
        <v>1666193.44952731</v>
      </c>
      <c r="AN73" t="n">
        <v>70760.801207261</v>
      </c>
      <c r="AO73" t="n">
        <v>460857.781015943</v>
      </c>
      <c r="AP73" t="n">
        <v>246573.010708535</v>
      </c>
      <c r="AQ73" t="n">
        <v>1259812.28309645</v>
      </c>
      <c r="AR73" t="n">
        <v>3474324.0676227</v>
      </c>
      <c r="AS73" t="n">
        <v>31199949.9729989</v>
      </c>
      <c r="AT73" t="n">
        <v>4156874.61887118</v>
      </c>
      <c r="AU73" t="n">
        <v>1777182.41719275</v>
      </c>
      <c r="AV73" t="n">
        <v>925634.802673431</v>
      </c>
      <c r="AW73" t="n">
        <v>22971.0175266688</v>
      </c>
      <c r="AX73" t="n">
        <v>30961265.0826034</v>
      </c>
      <c r="AY73" t="n">
        <v>4345396.62215754</v>
      </c>
      <c r="AZ73" t="n">
        <v>2283033.23873963</v>
      </c>
      <c r="BA73" t="n">
        <v>11185902.8800181</v>
      </c>
      <c r="BB73" t="n">
        <v>15623149.9484263</v>
      </c>
      <c r="BC73" t="n">
        <v>9196318.53605291</v>
      </c>
      <c r="BD73" t="n">
        <v>23163129.3645729</v>
      </c>
      <c r="BE73" t="n">
        <v>3060176.46423328</v>
      </c>
      <c r="BF73" t="n">
        <v>1735081.07406613</v>
      </c>
      <c r="BG73" t="n">
        <v>19832674.935822</v>
      </c>
      <c r="BH73" t="n">
        <v>1302862.61394184</v>
      </c>
      <c r="BI73" t="n">
        <v>1685558.3298386</v>
      </c>
      <c r="BJ73" t="n">
        <v>2402436.02364039</v>
      </c>
      <c r="BK73" t="n">
        <v>213856.756602326</v>
      </c>
      <c r="BL73" t="n">
        <v>632921.515758622</v>
      </c>
      <c r="BM73" t="n">
        <v>1603756.02027503</v>
      </c>
      <c r="BN73" t="n">
        <v>12108782.668341</v>
      </c>
      <c r="BO73" t="n">
        <v>3148499.42844187</v>
      </c>
      <c r="BP73" t="n">
        <v>5547531.46778874</v>
      </c>
      <c r="BQ73" t="n">
        <v>3982016.36506475</v>
      </c>
      <c r="BR73" t="n">
        <v>182911.02329508</v>
      </c>
      <c r="BS73" t="n">
        <v>19818150.247121</v>
      </c>
      <c r="BT73" t="n">
        <v>598729.292122444</v>
      </c>
      <c r="BU73" t="n">
        <v>797010978.16298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3873275.70684797</v>
      </c>
      <c r="C74" t="n">
        <v>61089.3351695661</v>
      </c>
      <c r="D74" t="n">
        <v>14490.0864691829</v>
      </c>
      <c r="E74" t="n">
        <v>180107.385416222</v>
      </c>
      <c r="F74" t="n">
        <v>2111494.26985012</v>
      </c>
      <c r="G74" t="n">
        <v>22673647.4506123</v>
      </c>
      <c r="H74" t="n">
        <v>2654958.08319141</v>
      </c>
      <c r="I74" t="n">
        <v>3182571.14915553</v>
      </c>
      <c r="J74" t="n">
        <v>1439787.72696339</v>
      </c>
      <c r="K74" t="n">
        <v>5947925.62498271</v>
      </c>
      <c r="L74" t="n">
        <v>4310985.70966704</v>
      </c>
      <c r="M74" t="n">
        <v>2795802.94478127</v>
      </c>
      <c r="N74" t="n">
        <v>36922.3489913378</v>
      </c>
      <c r="O74" t="n">
        <v>444400.053264641</v>
      </c>
      <c r="P74" t="n">
        <v>744681.771818884</v>
      </c>
      <c r="Q74" t="n">
        <v>529090.854346514</v>
      </c>
      <c r="R74" t="n">
        <v>694233.807295833</v>
      </c>
      <c r="S74" t="n">
        <v>401978.074998162</v>
      </c>
      <c r="T74" t="n">
        <v>8955967.47650084</v>
      </c>
      <c r="U74" t="n">
        <v>107237.079971339</v>
      </c>
      <c r="V74" t="n">
        <v>36116.0203991704</v>
      </c>
      <c r="W74" t="n">
        <v>4293521.58954773</v>
      </c>
      <c r="X74" t="n">
        <v>1384226.24785278</v>
      </c>
      <c r="Y74" t="n">
        <v>641192.842943189</v>
      </c>
      <c r="Z74" t="n">
        <v>792755.614746721</v>
      </c>
      <c r="AA74" t="n">
        <v>5530264.97323262</v>
      </c>
      <c r="AB74" t="n">
        <v>66689368.842498</v>
      </c>
      <c r="AC74" t="n">
        <v>7159226.17955221</v>
      </c>
      <c r="AD74" t="n">
        <v>5378503.56648263</v>
      </c>
      <c r="AE74" t="n">
        <v>13922607.4894659</v>
      </c>
      <c r="AF74" t="n">
        <v>20531913.1639164</v>
      </c>
      <c r="AG74" t="n">
        <v>7877123.60036584</v>
      </c>
      <c r="AH74" t="n">
        <v>49872.2556618889</v>
      </c>
      <c r="AI74" t="n">
        <v>7590.69527675752</v>
      </c>
      <c r="AJ74" t="n">
        <v>16999564.358369</v>
      </c>
      <c r="AK74" t="n">
        <v>284529.593639576</v>
      </c>
      <c r="AL74" t="n">
        <v>146105.014264052</v>
      </c>
      <c r="AM74" t="n">
        <v>9141135.86967843</v>
      </c>
      <c r="AN74" t="n">
        <v>1842126.20962246</v>
      </c>
      <c r="AO74" t="n">
        <v>576086.888124948</v>
      </c>
      <c r="AP74" t="n">
        <v>476024.620249568</v>
      </c>
      <c r="AQ74" t="n">
        <v>1653782.03198364</v>
      </c>
      <c r="AR74" t="n">
        <v>4312397.42664192</v>
      </c>
      <c r="AS74" t="n">
        <v>63803785.7609017</v>
      </c>
      <c r="AT74" t="n">
        <v>5900503.88847077</v>
      </c>
      <c r="AU74" t="n">
        <v>14447326.8007292</v>
      </c>
      <c r="AV74" t="n">
        <v>3090256.41025641</v>
      </c>
      <c r="AW74" t="n">
        <v>26382.6985497924</v>
      </c>
      <c r="AX74" t="n">
        <v>123802838.637529</v>
      </c>
      <c r="AY74" t="n">
        <v>14546664.9596723</v>
      </c>
      <c r="AZ74" t="n">
        <v>5889464.43281025</v>
      </c>
      <c r="BA74" t="n">
        <v>20859617.668456</v>
      </c>
      <c r="BB74" t="n">
        <v>54704010.8296464</v>
      </c>
      <c r="BC74" t="n">
        <v>64174835.6682496</v>
      </c>
      <c r="BD74" t="n">
        <v>63596375.9509203</v>
      </c>
      <c r="BE74" t="n">
        <v>3965806.14754508</v>
      </c>
      <c r="BF74" t="n">
        <v>5193659.14480962</v>
      </c>
      <c r="BG74" t="n">
        <v>182332871.444089</v>
      </c>
      <c r="BH74" t="n">
        <v>132734887.38447</v>
      </c>
      <c r="BI74" t="n">
        <v>59637680.3187733</v>
      </c>
      <c r="BJ74" t="n">
        <v>30915667.374612</v>
      </c>
      <c r="BK74" t="n">
        <v>1169717.24231188</v>
      </c>
      <c r="BL74" t="n">
        <v>4919513.07876241</v>
      </c>
      <c r="BM74" t="n">
        <v>35542555.4626118</v>
      </c>
      <c r="BN74" t="n">
        <v>43449896.9770412</v>
      </c>
      <c r="BO74" t="n">
        <v>12028652.9221703</v>
      </c>
      <c r="BP74" t="n">
        <v>2846318.45063428</v>
      </c>
      <c r="BQ74" t="n">
        <v>1813715.55283714</v>
      </c>
      <c r="BR74" t="n">
        <v>1530129.39835905</v>
      </c>
      <c r="BS74" t="n">
        <v>97267298.2079076</v>
      </c>
      <c r="BT74" t="n">
        <v>2871624.52708968</v>
      </c>
      <c r="BU74" t="n">
        <v>5111548913.381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18584351.9602352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4073136.97956631</v>
      </c>
      <c r="C75" t="n">
        <v>401926.340663928</v>
      </c>
      <c r="D75" t="n">
        <v>95606.5384747234</v>
      </c>
      <c r="E75" t="n">
        <v>744771.269742304</v>
      </c>
      <c r="F75" t="n">
        <v>2691051.95633738</v>
      </c>
      <c r="G75" t="n">
        <v>11887453.3740242</v>
      </c>
      <c r="H75" t="n">
        <v>35853729.9229174</v>
      </c>
      <c r="I75" t="n">
        <v>9449465.69161838</v>
      </c>
      <c r="J75" t="n">
        <v>6728877.50751963</v>
      </c>
      <c r="K75" t="n">
        <v>36408473.4908027</v>
      </c>
      <c r="L75" t="n">
        <v>20114210.145095</v>
      </c>
      <c r="M75" t="n">
        <v>9925893.19239718</v>
      </c>
      <c r="N75" t="n">
        <v>529548.576719533</v>
      </c>
      <c r="O75" t="n">
        <v>1677354.77690937</v>
      </c>
      <c r="P75" t="n">
        <v>2936815.0291393</v>
      </c>
      <c r="Q75" t="n">
        <v>3199902.07991226</v>
      </c>
      <c r="R75" t="n">
        <v>1276463.70968945</v>
      </c>
      <c r="S75" t="n">
        <v>1135793.40616501</v>
      </c>
      <c r="T75" t="n">
        <v>37464809.165964</v>
      </c>
      <c r="U75" t="n">
        <v>406156.250615444</v>
      </c>
      <c r="V75" t="n">
        <v>52804.1974305707</v>
      </c>
      <c r="W75" t="n">
        <v>30657795.644382</v>
      </c>
      <c r="X75" t="n">
        <v>3291421.48085598</v>
      </c>
      <c r="Y75" t="n">
        <v>3974153.69068177</v>
      </c>
      <c r="Z75" t="n">
        <v>7660048.26526161</v>
      </c>
      <c r="AA75" t="n">
        <v>15302825.7403947</v>
      </c>
      <c r="AB75" t="n">
        <v>159484108.092049</v>
      </c>
      <c r="AC75" t="n">
        <v>19649140.6660766</v>
      </c>
      <c r="AD75" t="n">
        <v>15983243.4575921</v>
      </c>
      <c r="AE75" t="n">
        <v>31873425.7341656</v>
      </c>
      <c r="AF75" t="n">
        <v>38855992.969279</v>
      </c>
      <c r="AG75" t="n">
        <v>495778.535605686</v>
      </c>
      <c r="AH75" t="n">
        <v>1976855.31505896</v>
      </c>
      <c r="AI75" t="n">
        <v>175623.163453838</v>
      </c>
      <c r="AJ75" t="n">
        <v>124556193.466504</v>
      </c>
      <c r="AK75" t="n">
        <v>3887092.67614985</v>
      </c>
      <c r="AL75" t="n">
        <v>1658665.02589588</v>
      </c>
      <c r="AM75" t="n">
        <v>15137474.8615</v>
      </c>
      <c r="AN75" t="n">
        <v>6000558.28287017</v>
      </c>
      <c r="AO75" t="n">
        <v>1622024.34939561</v>
      </c>
      <c r="AP75" t="n">
        <v>318500.210932589</v>
      </c>
      <c r="AQ75" t="n">
        <v>10305253.5260261</v>
      </c>
      <c r="AR75" t="n">
        <v>3926569.70757294</v>
      </c>
      <c r="AS75" t="n">
        <v>29540466.8967273</v>
      </c>
      <c r="AT75" t="n">
        <v>7091526.36972883</v>
      </c>
      <c r="AU75" t="n">
        <v>28713201.2401273</v>
      </c>
      <c r="AV75" t="n">
        <v>577386.263579176</v>
      </c>
      <c r="AW75" t="n">
        <v>126437132.891069</v>
      </c>
      <c r="AX75" t="n">
        <v>20232960.6084058</v>
      </c>
      <c r="AY75" t="n">
        <v>34095375.5366233</v>
      </c>
      <c r="AZ75" t="n">
        <v>2782534.75328304</v>
      </c>
      <c r="BA75" t="n">
        <v>7809141.8747565</v>
      </c>
      <c r="BB75" t="n">
        <v>27905762.1953084</v>
      </c>
      <c r="BC75" t="n">
        <v>99177861.7881878</v>
      </c>
      <c r="BD75" t="n">
        <v>82010308.210743</v>
      </c>
      <c r="BE75" t="n">
        <v>33367119.3316474</v>
      </c>
      <c r="BF75" t="n">
        <v>8483438.9143964</v>
      </c>
      <c r="BG75" t="n">
        <v>41915462.2986132</v>
      </c>
      <c r="BH75" t="n">
        <v>80015028.1196828</v>
      </c>
      <c r="BI75" t="n">
        <v>11893307.825702</v>
      </c>
      <c r="BJ75" t="n">
        <v>6977266.84959544</v>
      </c>
      <c r="BK75" t="n">
        <v>1795562.46766255</v>
      </c>
      <c r="BL75" t="n">
        <v>5417862.070204</v>
      </c>
      <c r="BM75" t="n">
        <v>8462646.33464249</v>
      </c>
      <c r="BN75" t="n">
        <v>64895763.4805539</v>
      </c>
      <c r="BO75" t="n">
        <v>44658409.791491</v>
      </c>
      <c r="BP75" t="n">
        <v>12002976.9092784</v>
      </c>
      <c r="BQ75" t="n">
        <v>53562224.5648387</v>
      </c>
      <c r="BR75" t="n">
        <v>3450490.58129513</v>
      </c>
      <c r="BS75" t="n">
        <v>204495927.199977</v>
      </c>
      <c r="BT75" t="n">
        <v>14388238.5870688</v>
      </c>
      <c r="BU75" t="n">
        <v>4115282959.67863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554007.268072849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8194647406.34377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1507424953.05588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6634.71036526353</v>
      </c>
      <c r="C78" t="n">
        <v>856.762143131499</v>
      </c>
      <c r="D78" t="n">
        <v>0</v>
      </c>
      <c r="E78" t="n">
        <v>918.530745146781</v>
      </c>
      <c r="F78" t="n">
        <v>0</v>
      </c>
      <c r="G78" t="n">
        <v>164796.627145443</v>
      </c>
      <c r="H78" t="n">
        <v>2472.03991369279</v>
      </c>
      <c r="I78" t="n">
        <v>0</v>
      </c>
      <c r="J78" t="n">
        <v>0</v>
      </c>
      <c r="K78" t="n">
        <v>56724.3217530753</v>
      </c>
      <c r="L78" t="n">
        <v>77643.9602127173</v>
      </c>
      <c r="M78" t="n">
        <v>138664.642873565</v>
      </c>
      <c r="N78" t="n">
        <v>3205.59203465832</v>
      </c>
      <c r="O78" t="n">
        <v>75321.584915226</v>
      </c>
      <c r="P78" t="n">
        <v>0</v>
      </c>
      <c r="Q78" t="n">
        <v>0</v>
      </c>
      <c r="R78" t="n">
        <v>0</v>
      </c>
      <c r="S78" t="n">
        <v>2416.13084980742</v>
      </c>
      <c r="T78" t="n">
        <v>0</v>
      </c>
      <c r="U78" t="n">
        <v>343.765106642632</v>
      </c>
      <c r="V78" t="n">
        <v>0</v>
      </c>
      <c r="W78" t="n">
        <v>0</v>
      </c>
      <c r="X78" t="n">
        <v>23741.246989373</v>
      </c>
      <c r="Y78" t="n">
        <v>9293.75032109113</v>
      </c>
      <c r="Z78" t="n">
        <v>11210.0785758854</v>
      </c>
      <c r="AA78" t="n">
        <v>0</v>
      </c>
      <c r="AB78" t="n">
        <v>8731126.34176106</v>
      </c>
      <c r="AC78" t="n">
        <v>396592.293117792</v>
      </c>
      <c r="AD78" t="n">
        <v>230072.816647883</v>
      </c>
      <c r="AE78" t="n">
        <v>255541.540167504</v>
      </c>
      <c r="AF78" t="n">
        <v>1403328.07255632</v>
      </c>
      <c r="AG78" t="n">
        <v>163.363583608874</v>
      </c>
      <c r="AH78" t="n">
        <v>0</v>
      </c>
      <c r="AI78" t="n">
        <v>61610.9006200718</v>
      </c>
      <c r="AJ78" t="n">
        <v>3223660.49012823</v>
      </c>
      <c r="AK78" t="n">
        <v>34626.1620547949</v>
      </c>
      <c r="AL78" t="n">
        <v>16874.8182924084</v>
      </c>
      <c r="AM78" t="n">
        <v>310149.731512814</v>
      </c>
      <c r="AN78" t="n">
        <v>233277.960601601</v>
      </c>
      <c r="AO78" t="n">
        <v>29768.4408308278</v>
      </c>
      <c r="AP78" t="n">
        <v>20367.830796236</v>
      </c>
      <c r="AQ78" t="n">
        <v>22495.7226229036</v>
      </c>
      <c r="AR78" t="n">
        <v>143173.719283634</v>
      </c>
      <c r="AS78" t="n">
        <v>522357.953147828</v>
      </c>
      <c r="AT78" t="n">
        <v>284938.599695897</v>
      </c>
      <c r="AU78" t="n">
        <v>22356.2996201806</v>
      </c>
      <c r="AV78" t="n">
        <v>0</v>
      </c>
      <c r="AW78" t="n">
        <v>0</v>
      </c>
      <c r="AX78" t="n">
        <v>102739.303952439</v>
      </c>
      <c r="AY78" t="n">
        <v>352322.365905912</v>
      </c>
      <c r="AZ78" t="n">
        <v>45046.2862833487</v>
      </c>
      <c r="BA78" t="n">
        <v>82444.4692043206</v>
      </c>
      <c r="BB78" t="n">
        <v>394938.827770818</v>
      </c>
      <c r="BC78" t="n">
        <v>176827.308770967</v>
      </c>
      <c r="BD78" t="n">
        <v>356586.232220779</v>
      </c>
      <c r="BE78" t="n">
        <v>54999.1158604609</v>
      </c>
      <c r="BF78" t="n">
        <v>97614.514074654</v>
      </c>
      <c r="BG78" t="n">
        <v>456551.021992247</v>
      </c>
      <c r="BH78" t="n">
        <v>1231514.92243011</v>
      </c>
      <c r="BI78" t="n">
        <v>117180.444412113</v>
      </c>
      <c r="BJ78" t="n">
        <v>245274.042440523</v>
      </c>
      <c r="BK78" t="n">
        <v>18315.358969451</v>
      </c>
      <c r="BL78" t="n">
        <v>16327.797392654</v>
      </c>
      <c r="BM78" t="n">
        <v>176424.989701075</v>
      </c>
      <c r="BN78" t="n">
        <v>2336843.068649</v>
      </c>
      <c r="BO78" t="n">
        <v>199100.968820587</v>
      </c>
      <c r="BP78" t="n">
        <v>150.637286471063</v>
      </c>
      <c r="BQ78" t="n">
        <v>30926.312522103</v>
      </c>
      <c r="BR78" t="n">
        <v>23230.2692918333</v>
      </c>
      <c r="BS78" t="n">
        <v>980386.466691864</v>
      </c>
      <c r="BT78" t="n">
        <v>27747.1611118334</v>
      </c>
      <c r="BU78" t="n">
        <v>2369434.23143061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4284138.25985841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14832549656.3389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6543330.43827304</v>
      </c>
      <c r="H80" t="n">
        <v>0</v>
      </c>
      <c r="I80" t="n">
        <v>1640248.2076417</v>
      </c>
      <c r="J80" t="n">
        <v>1093987.18118616</v>
      </c>
      <c r="K80" t="n">
        <v>5650529.34373358</v>
      </c>
      <c r="L80" t="n">
        <v>3017689.99676692</v>
      </c>
      <c r="M80" t="n">
        <v>2129253.89834335</v>
      </c>
      <c r="N80" t="n">
        <v>55383.5234870067</v>
      </c>
      <c r="O80" t="n">
        <v>416034.092417962</v>
      </c>
      <c r="P80" t="n">
        <v>479836.790209657</v>
      </c>
      <c r="Q80" t="n">
        <v>1007184.99984035</v>
      </c>
      <c r="R80" t="n">
        <v>370783.965260274</v>
      </c>
      <c r="S80" t="n">
        <v>222523.577231125</v>
      </c>
      <c r="T80" t="n">
        <v>16728761.2680328</v>
      </c>
      <c r="U80" t="n">
        <v>165451.494812924</v>
      </c>
      <c r="V80" t="n">
        <v>12038.6734663901</v>
      </c>
      <c r="W80" t="n">
        <v>5520242.04370423</v>
      </c>
      <c r="X80" t="n">
        <v>458469.840053148</v>
      </c>
      <c r="Y80" t="n">
        <v>1242502.87747364</v>
      </c>
      <c r="Z80" t="n">
        <v>4376535.12934553</v>
      </c>
      <c r="AA80" t="n">
        <v>2995560.19383434</v>
      </c>
      <c r="AB80" t="n">
        <v>11903090.4724891</v>
      </c>
      <c r="AC80" t="n">
        <v>4171729.54071651</v>
      </c>
      <c r="AD80" t="n">
        <v>2043693.26788044</v>
      </c>
      <c r="AE80" t="n">
        <v>2227617.19831454</v>
      </c>
      <c r="AF80" t="n">
        <v>4723276.48896252</v>
      </c>
      <c r="AG80" t="n">
        <v>7765.49461527131</v>
      </c>
      <c r="AH80" t="n">
        <v>0</v>
      </c>
      <c r="AI80" t="n">
        <v>0</v>
      </c>
      <c r="AJ80" t="n">
        <v>7345925.73827965</v>
      </c>
      <c r="AK80" t="n">
        <v>12043.5806831567</v>
      </c>
      <c r="AL80" t="n">
        <v>262129.584414917</v>
      </c>
      <c r="AM80" t="n">
        <v>604120.461347239</v>
      </c>
      <c r="AN80" t="n">
        <v>1124238.78969606</v>
      </c>
      <c r="AO80" t="n">
        <v>73514.5680901906</v>
      </c>
      <c r="AP80" t="n">
        <v>71605.3983849986</v>
      </c>
      <c r="AQ80" t="n">
        <v>210179.656238723</v>
      </c>
      <c r="AR80" t="n">
        <v>178139.934597478</v>
      </c>
      <c r="AS80" t="n">
        <v>2716645.56560089</v>
      </c>
      <c r="AT80" t="n">
        <v>371937.067698814</v>
      </c>
      <c r="AU80" t="n">
        <v>338967.084100811</v>
      </c>
      <c r="AV80" t="n">
        <v>0</v>
      </c>
      <c r="AW80" t="n">
        <v>0</v>
      </c>
      <c r="AX80" t="n">
        <v>9720475.19692066</v>
      </c>
      <c r="AY80" t="n">
        <v>5610018.54291508</v>
      </c>
      <c r="AZ80" t="n">
        <v>1331630.48310994</v>
      </c>
      <c r="BA80" t="n">
        <v>738049.787152074</v>
      </c>
      <c r="BB80" t="n">
        <v>3641917.6398279</v>
      </c>
      <c r="BC80" t="n">
        <v>7133609.47971064</v>
      </c>
      <c r="BD80" t="n">
        <v>7562459.87730062</v>
      </c>
      <c r="BE80" t="n">
        <v>7002817.54678034</v>
      </c>
      <c r="BF80" t="n">
        <v>416815.956844594</v>
      </c>
      <c r="BG80" t="n">
        <v>5601207.99184121</v>
      </c>
      <c r="BH80" t="n">
        <v>6239356.76569417</v>
      </c>
      <c r="BI80" t="n">
        <v>4287985.4736205</v>
      </c>
      <c r="BJ80" t="n">
        <v>2005658.11686544</v>
      </c>
      <c r="BK80" t="n">
        <v>250808.133286836</v>
      </c>
      <c r="BL80" t="n">
        <v>929951.24576894</v>
      </c>
      <c r="BM80" t="n">
        <v>3279844.60718153</v>
      </c>
      <c r="BN80" t="n">
        <v>10382012.1913901</v>
      </c>
      <c r="BO80" t="n">
        <v>9265960.60803911</v>
      </c>
      <c r="BP80" t="n">
        <v>3732436.45885062</v>
      </c>
      <c r="BQ80" t="n">
        <v>4724480.93854538</v>
      </c>
      <c r="BR80" t="n">
        <v>1222083.54588413</v>
      </c>
      <c r="BS80" t="n">
        <v>54460332.0452699</v>
      </c>
      <c r="BT80" t="n">
        <v>9508054.45424344</v>
      </c>
      <c r="BU80" t="n">
        <v>576731251.285339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-177401.940771663</v>
      </c>
      <c r="C81" t="n">
        <v>1893769.39025655</v>
      </c>
      <c r="D81" t="n">
        <v>0</v>
      </c>
      <c r="E81" t="n">
        <v>0</v>
      </c>
      <c r="F81" t="n">
        <v>4759241.05267806</v>
      </c>
      <c r="G81" t="n">
        <v>51031614.3743434</v>
      </c>
      <c r="H81" t="n">
        <v>15257746.6606643</v>
      </c>
      <c r="I81" t="n">
        <v>0</v>
      </c>
      <c r="J81" t="n">
        <v>-12574.5653009904</v>
      </c>
      <c r="K81" t="n">
        <v>618376087.601328</v>
      </c>
      <c r="L81" t="n">
        <v>5819830.7080505</v>
      </c>
      <c r="M81" t="n">
        <v>55545.7538698266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224916.303868019</v>
      </c>
      <c r="T81" t="n">
        <v>-16432.9678467905</v>
      </c>
      <c r="U81" t="n">
        <v>-3063.9165706097</v>
      </c>
      <c r="V81" t="n">
        <v>0</v>
      </c>
      <c r="W81" t="n">
        <v>-1153117.2269071</v>
      </c>
      <c r="X81" t="n">
        <v>0</v>
      </c>
      <c r="Y81" t="n">
        <v>0</v>
      </c>
      <c r="Z81" t="n">
        <v>-3275.84964771371</v>
      </c>
      <c r="AA81" t="n">
        <v>-15361.8471478684</v>
      </c>
      <c r="AB81" t="n">
        <v>0</v>
      </c>
      <c r="AC81" t="n">
        <v>-116628.997912505</v>
      </c>
      <c r="AD81" t="n">
        <v>0</v>
      </c>
      <c r="AE81" t="n">
        <v>0</v>
      </c>
      <c r="AF81" t="n">
        <v>1316898.64933899</v>
      </c>
      <c r="AG81" t="n">
        <v>-248495.827688682</v>
      </c>
      <c r="AH81" t="n">
        <v>0</v>
      </c>
      <c r="AI81" t="n">
        <v>-73110.3808235067</v>
      </c>
      <c r="AJ81" t="n">
        <v>5690009.62461469</v>
      </c>
      <c r="AK81" t="n">
        <v>6021.79034157833</v>
      </c>
      <c r="AL81" t="n">
        <v>502773.137320414</v>
      </c>
      <c r="AM81" t="n">
        <v>9311998.2223827</v>
      </c>
      <c r="AN81" t="n">
        <v>0</v>
      </c>
      <c r="AO81" t="n">
        <v>0</v>
      </c>
      <c r="AP81" t="n">
        <v>127074.368964927</v>
      </c>
      <c r="AQ81" t="n">
        <v>2765.52179261478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46086.7841464271</v>
      </c>
      <c r="AZ81" t="n">
        <v>0</v>
      </c>
      <c r="BA81" t="n">
        <v>0</v>
      </c>
      <c r="BB81" t="n">
        <v>0</v>
      </c>
      <c r="BC81" t="n">
        <v>3082935.87979743</v>
      </c>
      <c r="BD81" t="n">
        <v>0</v>
      </c>
      <c r="BE81" t="n">
        <v>0</v>
      </c>
      <c r="BF81" t="n">
        <v>810475.471642266</v>
      </c>
      <c r="BG81" t="n">
        <v>0</v>
      </c>
      <c r="BH81" t="n">
        <v>0</v>
      </c>
      <c r="BI81" t="n">
        <v>0</v>
      </c>
      <c r="BJ81" t="n">
        <v>0</v>
      </c>
      <c r="BK81" t="n">
        <v>-307023.749368368</v>
      </c>
      <c r="BL81" t="n">
        <v>1842155.33035908</v>
      </c>
      <c r="BM81" t="n">
        <v>0</v>
      </c>
      <c r="BN81" t="n">
        <v>0</v>
      </c>
      <c r="BO81" t="n">
        <v>185428625.717777</v>
      </c>
      <c r="BP81" t="n">
        <v>-209446.074669315</v>
      </c>
      <c r="BQ81" t="n">
        <v>0</v>
      </c>
      <c r="BR81" t="n">
        <v>0</v>
      </c>
      <c r="BS81" t="n">
        <v>0</v>
      </c>
      <c r="BT81" t="n">
        <v>0</v>
      </c>
      <c r="BU81" t="n">
        <v>584542502.469656</v>
      </c>
      <c r="BV81" t="n">
        <v>-40354472.0432388</v>
      </c>
      <c r="BW81" t="n">
        <v>-1757202824.85003</v>
      </c>
      <c r="BX81" t="n">
        <v>0</v>
      </c>
      <c r="BY81" t="n">
        <v>-7501250.81169179</v>
      </c>
      <c r="BZ81" t="n">
        <v>33087728.3188026</v>
      </c>
      <c r="CA81" t="n">
        <v>336821586.418493</v>
      </c>
      <c r="CB81" t="n">
        <v>0</v>
      </c>
      <c r="CC81" t="n">
        <v>0</v>
      </c>
      <c r="CD81" t="n">
        <v>-53431.9391502665</v>
      </c>
      <c r="CE81" t="n">
        <v>0</v>
      </c>
      <c r="CF81" t="n">
        <v>0</v>
      </c>
      <c r="CG81" t="n">
        <v>0</v>
      </c>
      <c r="CH81" t="n">
        <v>-7386965.58752435</v>
      </c>
      <c r="CI81" t="n">
        <v>440813.497989699</v>
      </c>
      <c r="CJ81" t="n">
        <v>0</v>
      </c>
      <c r="CK81" t="n">
        <v>0</v>
      </c>
      <c r="CL81" t="n">
        <v>28900722.1884866</v>
      </c>
      <c r="CM81" t="n">
        <v>-120033393.794804</v>
      </c>
      <c r="CN81" t="n">
        <v>0</v>
      </c>
    </row>
    <row r="82">
      <c r="A82" t="s">
        <v>193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-1608233284.48806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1140468880.58686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225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521057989.285372</v>
      </c>
      <c r="C10" t="n">
        <v>2508860.76544223</v>
      </c>
      <c r="D10" t="n">
        <v>0</v>
      </c>
      <c r="E10" t="n">
        <v>73430.7347287107</v>
      </c>
      <c r="F10" t="n">
        <v>53682.207139014</v>
      </c>
      <c r="G10" t="n">
        <v>0</v>
      </c>
      <c r="H10" t="n">
        <v>5174259.57707053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431957.163466224</v>
      </c>
      <c r="T10" t="n">
        <v>2296335225.79685</v>
      </c>
      <c r="U10" t="n">
        <v>3141977.20776453</v>
      </c>
      <c r="V10" t="n">
        <v>0</v>
      </c>
      <c r="W10" t="n">
        <v>0</v>
      </c>
      <c r="X10" t="n">
        <v>0</v>
      </c>
      <c r="Y10" t="n">
        <v>0</v>
      </c>
      <c r="Z10" t="n">
        <v>28383911.550699</v>
      </c>
      <c r="AA10" t="n">
        <v>0</v>
      </c>
      <c r="AB10" t="n">
        <v>3821851.19351611</v>
      </c>
      <c r="AC10" t="n">
        <v>3678003.68748717</v>
      </c>
      <c r="AD10" t="n">
        <v>3787348.88648428</v>
      </c>
      <c r="AE10" t="n">
        <v>1273888.69359161</v>
      </c>
      <c r="AF10" t="n">
        <v>1464513.73213016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132635.771555568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3193.57761556237</v>
      </c>
      <c r="AT10" t="n">
        <v>0</v>
      </c>
      <c r="AU10" t="n">
        <v>0</v>
      </c>
      <c r="AV10" t="n">
        <v>0</v>
      </c>
      <c r="AW10" t="n">
        <v>0</v>
      </c>
      <c r="AX10" t="n">
        <v>9810.5097893804</v>
      </c>
      <c r="AY10" t="n">
        <v>0</v>
      </c>
      <c r="AZ10" t="n">
        <v>1830.79116815694</v>
      </c>
      <c r="BA10" t="n">
        <v>0</v>
      </c>
      <c r="BB10" t="n">
        <v>2018623.87445546</v>
      </c>
      <c r="BC10" t="n">
        <v>199827.81260815</v>
      </c>
      <c r="BD10" t="n">
        <v>6374588.47493805</v>
      </c>
      <c r="BE10" t="n">
        <v>0</v>
      </c>
      <c r="BF10" t="n">
        <v>384733.888047176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1248632.18327241</v>
      </c>
      <c r="BM10" t="n">
        <v>127359.522165729</v>
      </c>
      <c r="BN10" t="n">
        <v>25236342.2751899</v>
      </c>
      <c r="BO10" t="n">
        <v>68708.1390102641</v>
      </c>
      <c r="BP10" t="n">
        <v>32349.959212251</v>
      </c>
      <c r="BQ10" t="n">
        <v>-1021220.64733031</v>
      </c>
      <c r="BR10" t="n">
        <v>0</v>
      </c>
      <c r="BS10" t="n">
        <v>19365556.2488964</v>
      </c>
      <c r="BT10" t="n">
        <v>0</v>
      </c>
      <c r="BU10" t="n">
        <v>437426957.412762</v>
      </c>
      <c r="BV10" t="n">
        <v>0</v>
      </c>
      <c r="BW10" t="n">
        <v>0</v>
      </c>
      <c r="BX10" t="n">
        <v>0</v>
      </c>
      <c r="BY10" t="n">
        <v>0</v>
      </c>
      <c r="BZ10" t="n">
        <v>-134598323.415112</v>
      </c>
      <c r="CA10" t="n">
        <v>259373667.860634</v>
      </c>
      <c r="CB10" t="n">
        <v>-442917250.080987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200211590.883219</v>
      </c>
      <c r="C11" t="n">
        <v>61514084.0381377</v>
      </c>
      <c r="D11" t="n">
        <v>0</v>
      </c>
      <c r="E11" t="n">
        <v>391857.796422795</v>
      </c>
      <c r="F11" t="n">
        <v>0</v>
      </c>
      <c r="G11" t="n">
        <v>0</v>
      </c>
      <c r="H11" t="n">
        <v>0</v>
      </c>
      <c r="I11" t="n">
        <v>229655831.017904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575839.074020595</v>
      </c>
      <c r="S11" t="n">
        <v>496039.921299878</v>
      </c>
      <c r="T11" t="n">
        <v>125511564.930655</v>
      </c>
      <c r="U11" t="n">
        <v>0</v>
      </c>
      <c r="V11" t="n">
        <v>318903.936075888</v>
      </c>
      <c r="W11" t="n">
        <v>55297740.7410761</v>
      </c>
      <c r="X11" t="n">
        <v>168968.832648614</v>
      </c>
      <c r="Y11" t="n">
        <v>0</v>
      </c>
      <c r="Z11" t="n">
        <v>951539.732010806</v>
      </c>
      <c r="AA11" t="n">
        <v>22871398.951894</v>
      </c>
      <c r="AB11" t="n">
        <v>0</v>
      </c>
      <c r="AC11" t="n">
        <v>0</v>
      </c>
      <c r="AD11" t="n">
        <v>4065346.45017704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6102.22688229535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828336.487816752</v>
      </c>
      <c r="BC11" t="n">
        <v>253327.837963922</v>
      </c>
      <c r="BD11" t="n">
        <v>10865.6032719836</v>
      </c>
      <c r="BE11" t="n">
        <v>0</v>
      </c>
      <c r="BF11" t="n">
        <v>158225.996802689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715179.402778627</v>
      </c>
      <c r="BM11" t="n">
        <v>1455146.2032534</v>
      </c>
      <c r="BN11" t="n">
        <v>32452741.6693814</v>
      </c>
      <c r="BO11" t="n">
        <v>525392.986485916</v>
      </c>
      <c r="BP11" t="n">
        <v>0</v>
      </c>
      <c r="BQ11" t="n">
        <v>206626.680942478</v>
      </c>
      <c r="BR11" t="n">
        <v>69855.2794766243</v>
      </c>
      <c r="BS11" t="n">
        <v>31515068.1327945</v>
      </c>
      <c r="BT11" t="n">
        <v>0</v>
      </c>
      <c r="BU11" t="n">
        <v>44580201.7131132</v>
      </c>
      <c r="BV11" t="n">
        <v>0</v>
      </c>
      <c r="BW11" t="n">
        <v>0</v>
      </c>
      <c r="BX11" t="n">
        <v>0</v>
      </c>
      <c r="BY11" t="n">
        <v>0</v>
      </c>
      <c r="BZ11" t="n">
        <v>14790034.3485624</v>
      </c>
      <c r="CA11" t="n">
        <v>2724375.72480385</v>
      </c>
      <c r="CB11" t="n">
        <v>-201917158.738349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2746392.04987461</v>
      </c>
      <c r="E12" t="n">
        <v>0</v>
      </c>
      <c r="F12" t="n">
        <v>13192.5144181973</v>
      </c>
      <c r="G12" t="n">
        <v>17810121.8960748</v>
      </c>
      <c r="H12" t="n">
        <v>0</v>
      </c>
      <c r="I12" t="n">
        <v>26304.7793115144</v>
      </c>
      <c r="J12" t="n">
        <v>156.100345375779</v>
      </c>
      <c r="K12" t="n">
        <v>2215.12208677971</v>
      </c>
      <c r="L12" t="n">
        <v>0</v>
      </c>
      <c r="M12" t="n">
        <v>0</v>
      </c>
      <c r="N12" t="n">
        <v>0</v>
      </c>
      <c r="O12" t="n">
        <v>0</v>
      </c>
      <c r="P12" t="n">
        <v>77.3595084449813</v>
      </c>
      <c r="Q12" t="n">
        <v>0</v>
      </c>
      <c r="R12" t="n">
        <v>0</v>
      </c>
      <c r="S12" t="n">
        <v>0</v>
      </c>
      <c r="T12" t="n">
        <v>407.996919977988</v>
      </c>
      <c r="U12" t="n">
        <v>0</v>
      </c>
      <c r="V12" t="n">
        <v>0</v>
      </c>
      <c r="W12" t="n">
        <v>24534.4090831299</v>
      </c>
      <c r="X12" t="n">
        <v>218.901282878475</v>
      </c>
      <c r="Y12" t="n">
        <v>416293993.43512</v>
      </c>
      <c r="Z12" t="n">
        <v>966375.122234169</v>
      </c>
      <c r="AA12" t="n">
        <v>0</v>
      </c>
      <c r="AB12" t="n">
        <v>8413.56846178729</v>
      </c>
      <c r="AC12" t="n">
        <v>9416.94738430875</v>
      </c>
      <c r="AD12" t="n">
        <v>0</v>
      </c>
      <c r="AE12" t="n">
        <v>354.533144729636</v>
      </c>
      <c r="AF12" t="n">
        <v>12141.7110398641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4937.35126608925</v>
      </c>
      <c r="AM12" t="n">
        <v>0</v>
      </c>
      <c r="AN12" t="n">
        <v>170107.201821535</v>
      </c>
      <c r="AO12" t="n">
        <v>28026.8143526228</v>
      </c>
      <c r="AP12" t="n">
        <v>0</v>
      </c>
      <c r="AQ12" t="n">
        <v>2834.18403208597</v>
      </c>
      <c r="AR12" t="n">
        <v>7449.162222242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32070.0069689172</v>
      </c>
      <c r="AY12" t="n">
        <v>0</v>
      </c>
      <c r="AZ12" t="n">
        <v>0</v>
      </c>
      <c r="BA12" t="n">
        <v>80.3695786325208</v>
      </c>
      <c r="BB12" t="n">
        <v>3234.03446083807</v>
      </c>
      <c r="BC12" t="n">
        <v>14511.3087063982</v>
      </c>
      <c r="BD12" t="n">
        <v>0</v>
      </c>
      <c r="BE12" t="n">
        <v>7554.40332366085</v>
      </c>
      <c r="BF12" t="n">
        <v>235461.245169162</v>
      </c>
      <c r="BG12" t="n">
        <v>186.917362082704</v>
      </c>
      <c r="BH12" t="n">
        <v>0</v>
      </c>
      <c r="BI12" t="n">
        <v>195.702009366808</v>
      </c>
      <c r="BJ12" t="n">
        <v>0</v>
      </c>
      <c r="BK12" t="n">
        <v>0</v>
      </c>
      <c r="BL12" t="n">
        <v>29893.5850878772</v>
      </c>
      <c r="BM12" t="n">
        <v>101.535936525667</v>
      </c>
      <c r="BN12" t="n">
        <v>166.83759847839</v>
      </c>
      <c r="BO12" t="n">
        <v>14186.0410797447</v>
      </c>
      <c r="BP12" t="n">
        <v>0</v>
      </c>
      <c r="BQ12" t="n">
        <v>0</v>
      </c>
      <c r="BR12" t="n">
        <v>583146.845340039</v>
      </c>
      <c r="BS12" t="n">
        <v>0</v>
      </c>
      <c r="BT12" t="n">
        <v>7230552.52106997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5557881.42871195</v>
      </c>
      <c r="CA12" t="n">
        <v>87049370.9023602</v>
      </c>
      <c r="CB12" t="n">
        <v>-430565327.849739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5515546.02461008</v>
      </c>
      <c r="C13" t="n">
        <v>0</v>
      </c>
      <c r="D13" t="n">
        <v>37283.4150218257</v>
      </c>
      <c r="E13" t="n">
        <v>15521181.5221354</v>
      </c>
      <c r="F13" t="n">
        <v>293303.873721592</v>
      </c>
      <c r="G13" t="n">
        <v>24752298.4282185</v>
      </c>
      <c r="H13" t="n">
        <v>38523742.5369113</v>
      </c>
      <c r="I13" t="n">
        <v>87057.9200710514</v>
      </c>
      <c r="J13" t="n">
        <v>27914254.0153836</v>
      </c>
      <c r="K13" t="n">
        <v>117272808.88299</v>
      </c>
      <c r="L13" t="n">
        <v>2517595.53282466</v>
      </c>
      <c r="M13" t="n">
        <v>495847.34816478</v>
      </c>
      <c r="N13" t="n">
        <v>3809.62698189857</v>
      </c>
      <c r="O13" t="n">
        <v>509560.992140266</v>
      </c>
      <c r="P13" t="n">
        <v>139873.850165396</v>
      </c>
      <c r="Q13" t="n">
        <v>257136.847078477</v>
      </c>
      <c r="R13" t="n">
        <v>45587.9401971279</v>
      </c>
      <c r="S13" t="n">
        <v>141446.596420934</v>
      </c>
      <c r="T13" t="n">
        <v>10527317.4646313</v>
      </c>
      <c r="U13" t="n">
        <v>52094.0378069824</v>
      </c>
      <c r="V13" t="n">
        <v>0</v>
      </c>
      <c r="W13" t="n">
        <v>14687309.8021151</v>
      </c>
      <c r="X13" t="n">
        <v>0</v>
      </c>
      <c r="Y13" t="n">
        <v>4369656.003051</v>
      </c>
      <c r="Z13" t="n">
        <v>9598687.06315574</v>
      </c>
      <c r="AA13" t="n">
        <v>822832.715934784</v>
      </c>
      <c r="AB13" t="n">
        <v>90849.3922537179</v>
      </c>
      <c r="AC13" t="n">
        <v>0</v>
      </c>
      <c r="AD13" t="n">
        <v>0</v>
      </c>
      <c r="AE13" t="n">
        <v>0</v>
      </c>
      <c r="AF13" t="n">
        <v>8454.55981070429</v>
      </c>
      <c r="AG13" t="n">
        <v>0</v>
      </c>
      <c r="AH13" t="n">
        <v>875663.262667062</v>
      </c>
      <c r="AI13" t="n">
        <v>0</v>
      </c>
      <c r="AJ13" t="n">
        <v>46983.4885212396</v>
      </c>
      <c r="AK13" t="n">
        <v>669.18958070183</v>
      </c>
      <c r="AL13" t="n">
        <v>0</v>
      </c>
      <c r="AM13" t="n">
        <v>2712.51333379392</v>
      </c>
      <c r="AN13" t="n">
        <v>6020.93590840629</v>
      </c>
      <c r="AO13" t="n">
        <v>10100.5069738544</v>
      </c>
      <c r="AP13" t="n">
        <v>7172.83647844169</v>
      </c>
      <c r="AQ13" t="n">
        <v>334676.929091247</v>
      </c>
      <c r="AR13" t="n">
        <v>567034.152162024</v>
      </c>
      <c r="AS13" t="n">
        <v>0</v>
      </c>
      <c r="AT13" t="n">
        <v>0</v>
      </c>
      <c r="AU13" t="n">
        <v>0</v>
      </c>
      <c r="AV13" t="n">
        <v>0</v>
      </c>
      <c r="AW13" t="n">
        <v>11727.4272127455</v>
      </c>
      <c r="AX13" t="n">
        <v>0</v>
      </c>
      <c r="AY13" t="n">
        <v>0</v>
      </c>
      <c r="AZ13" t="n">
        <v>0</v>
      </c>
      <c r="BA13" t="n">
        <v>0</v>
      </c>
      <c r="BB13" t="n">
        <v>1952264.85469654</v>
      </c>
      <c r="BC13" t="n">
        <v>198183.854719842</v>
      </c>
      <c r="BD13" t="n">
        <v>2027938.29937673</v>
      </c>
      <c r="BE13" t="n">
        <v>158098.217994588</v>
      </c>
      <c r="BF13" t="n">
        <v>581936.526532887</v>
      </c>
      <c r="BG13" t="n">
        <v>0</v>
      </c>
      <c r="BH13" t="n">
        <v>54028.6211360776</v>
      </c>
      <c r="BI13" t="n">
        <v>105988.416388829</v>
      </c>
      <c r="BJ13" t="n">
        <v>511044.553243229</v>
      </c>
      <c r="BK13" t="n">
        <v>244357.231926134</v>
      </c>
      <c r="BL13" t="n">
        <v>1003452.29836932</v>
      </c>
      <c r="BM13" t="n">
        <v>248137.787115697</v>
      </c>
      <c r="BN13" t="n">
        <v>2046834.86888546</v>
      </c>
      <c r="BO13" t="n">
        <v>3475146.88502708</v>
      </c>
      <c r="BP13" t="n">
        <v>0</v>
      </c>
      <c r="BQ13" t="n">
        <v>5407620.94809903</v>
      </c>
      <c r="BR13" t="n">
        <v>0</v>
      </c>
      <c r="BS13" t="n">
        <v>11005308.7216104</v>
      </c>
      <c r="BT13" t="n">
        <v>10161012.4716644</v>
      </c>
      <c r="BU13" t="n">
        <v>895780.458017828</v>
      </c>
      <c r="BV13" t="n">
        <v>0</v>
      </c>
      <c r="BW13" t="n">
        <v>194255.806156213</v>
      </c>
      <c r="BX13" t="n">
        <v>0</v>
      </c>
      <c r="BY13" t="n">
        <v>0</v>
      </c>
      <c r="BZ13" t="n">
        <v>3573618.85942953</v>
      </c>
      <c r="CA13" t="n">
        <v>3287529.21085039</v>
      </c>
      <c r="CB13" t="n">
        <v>-61746783.7776118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19021000.0109371</v>
      </c>
      <c r="E14" t="n">
        <v>5091848.98323816</v>
      </c>
      <c r="F14" t="n">
        <v>12644310.7079693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69961.954606002</v>
      </c>
      <c r="BC14" t="n">
        <v>33242.9893456848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449742717.560029</v>
      </c>
      <c r="BW14" t="n">
        <v>9312700.50710544</v>
      </c>
      <c r="BX14" t="n">
        <v>0</v>
      </c>
      <c r="BY14" t="n">
        <v>0</v>
      </c>
      <c r="BZ14" t="n">
        <v>-22977.5143296535</v>
      </c>
      <c r="CA14" t="n">
        <v>71606.9617709453</v>
      </c>
      <c r="CB14" t="n">
        <v>-2662926.11772216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22969962.2480769</v>
      </c>
      <c r="C15" t="n">
        <v>161919.134698448</v>
      </c>
      <c r="D15" t="n">
        <v>1984161.80802522</v>
      </c>
      <c r="E15" t="n">
        <v>5872434.96574095</v>
      </c>
      <c r="F15" t="n">
        <v>828383.066624022</v>
      </c>
      <c r="G15" t="n">
        <v>80695542.3112573</v>
      </c>
      <c r="H15" t="n">
        <v>12701597.7900693</v>
      </c>
      <c r="I15" t="n">
        <v>10682416.1033797</v>
      </c>
      <c r="J15" t="n">
        <v>6285523.14517412</v>
      </c>
      <c r="K15" t="n">
        <v>37855739.9194029</v>
      </c>
      <c r="L15" t="n">
        <v>13843988.5672163</v>
      </c>
      <c r="M15" t="n">
        <v>5941451.96833405</v>
      </c>
      <c r="N15" t="n">
        <v>350763.509505433</v>
      </c>
      <c r="O15" t="n">
        <v>1921656.90898272</v>
      </c>
      <c r="P15" t="n">
        <v>2505730.35444779</v>
      </c>
      <c r="Q15" t="n">
        <v>4777510.56638462</v>
      </c>
      <c r="R15" t="n">
        <v>1228563.1496184</v>
      </c>
      <c r="S15" t="n">
        <v>583233.134782945</v>
      </c>
      <c r="T15" t="n">
        <v>38049019.6380276</v>
      </c>
      <c r="U15" t="n">
        <v>711400.261715762</v>
      </c>
      <c r="V15" t="n">
        <v>42061.6908978447</v>
      </c>
      <c r="W15" t="n">
        <v>35705178.2877513</v>
      </c>
      <c r="X15" t="n">
        <v>2739698.01201787</v>
      </c>
      <c r="Y15" t="n">
        <v>5132398.70735018</v>
      </c>
      <c r="Z15" t="n">
        <v>11717635.7461109</v>
      </c>
      <c r="AA15" t="n">
        <v>19476449.1078624</v>
      </c>
      <c r="AB15" t="n">
        <v>31240298.556442</v>
      </c>
      <c r="AC15" t="n">
        <v>10183633.377798</v>
      </c>
      <c r="AD15" t="n">
        <v>16902109.671294</v>
      </c>
      <c r="AE15" t="n">
        <v>29128052.4265655</v>
      </c>
      <c r="AF15" t="n">
        <v>25270027.897417</v>
      </c>
      <c r="AG15" t="n">
        <v>347402.927079546</v>
      </c>
      <c r="AH15" t="n">
        <v>296421.408549909</v>
      </c>
      <c r="AI15" t="n">
        <v>23998.8658736828</v>
      </c>
      <c r="AJ15" t="n">
        <v>20216407.3915616</v>
      </c>
      <c r="AK15" t="n">
        <v>177438.512433501</v>
      </c>
      <c r="AL15" t="n">
        <v>987243.701458322</v>
      </c>
      <c r="AM15" t="n">
        <v>2334003.0295433</v>
      </c>
      <c r="AN15" t="n">
        <v>4422094.54444947</v>
      </c>
      <c r="AO15" t="n">
        <v>294614.07898163</v>
      </c>
      <c r="AP15" t="n">
        <v>116718.661288673</v>
      </c>
      <c r="AQ15" t="n">
        <v>4351548.90039427</v>
      </c>
      <c r="AR15" t="n">
        <v>1723680.15295101</v>
      </c>
      <c r="AS15" t="n">
        <v>4278955.51104093</v>
      </c>
      <c r="AT15" t="n">
        <v>558711.842907896</v>
      </c>
      <c r="AU15" t="n">
        <v>739835.665635667</v>
      </c>
      <c r="AV15" t="n">
        <v>1384399.23631573</v>
      </c>
      <c r="AW15" t="n">
        <v>273594.035986696</v>
      </c>
      <c r="AX15" t="n">
        <v>28200474.373811</v>
      </c>
      <c r="AY15" t="n">
        <v>1533695.06441768</v>
      </c>
      <c r="AZ15" t="n">
        <v>488494.751923679</v>
      </c>
      <c r="BA15" t="n">
        <v>714942.26115673</v>
      </c>
      <c r="BB15" t="n">
        <v>4593305.85299239</v>
      </c>
      <c r="BC15" t="n">
        <v>19143039.3802393</v>
      </c>
      <c r="BD15" t="n">
        <v>4641387.06839366</v>
      </c>
      <c r="BE15" t="n">
        <v>2779560.13847478</v>
      </c>
      <c r="BF15" t="n">
        <v>4727333.78107551</v>
      </c>
      <c r="BG15" t="n">
        <v>8215284.38118335</v>
      </c>
      <c r="BH15" t="n">
        <v>14365787.8456931</v>
      </c>
      <c r="BI15" t="n">
        <v>7624284.52986773</v>
      </c>
      <c r="BJ15" t="n">
        <v>2812213.83015754</v>
      </c>
      <c r="BK15" t="n">
        <v>611426.115953689</v>
      </c>
      <c r="BL15" t="n">
        <v>3126923.33277841</v>
      </c>
      <c r="BM15" t="n">
        <v>6477871.97315664</v>
      </c>
      <c r="BN15" t="n">
        <v>34382740.5182674</v>
      </c>
      <c r="BO15" t="n">
        <v>13200457.7104829</v>
      </c>
      <c r="BP15" t="n">
        <v>2764005.22578633</v>
      </c>
      <c r="BQ15" t="n">
        <v>1998041.71051974</v>
      </c>
      <c r="BR15" t="n">
        <v>3796901.99215645</v>
      </c>
      <c r="BS15" t="n">
        <v>46991421.0822909</v>
      </c>
      <c r="BT15" t="n">
        <v>4535845.51295467</v>
      </c>
      <c r="BU15" t="n">
        <v>451948084.526517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39958652.4650181</v>
      </c>
      <c r="CB15" t="n">
        <v>-14654959.4613684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15079164.9655913</v>
      </c>
      <c r="C16" t="n">
        <v>244357.340678264</v>
      </c>
      <c r="D16" t="n">
        <v>167193.305413649</v>
      </c>
      <c r="E16" t="n">
        <v>19096840.6536776</v>
      </c>
      <c r="F16" t="n">
        <v>11579702.7021146</v>
      </c>
      <c r="G16" t="n">
        <v>61371561.177125</v>
      </c>
      <c r="H16" t="n">
        <v>1553315.7250207</v>
      </c>
      <c r="I16" t="n">
        <v>7711614.70756917</v>
      </c>
      <c r="J16" t="n">
        <v>5589394.27629021</v>
      </c>
      <c r="K16" t="n">
        <v>31345568.0436589</v>
      </c>
      <c r="L16" t="n">
        <v>15882578.9303522</v>
      </c>
      <c r="M16" t="n">
        <v>8554046.0959533</v>
      </c>
      <c r="N16" t="n">
        <v>482627.84752963</v>
      </c>
      <c r="O16" t="n">
        <v>1635770.40882517</v>
      </c>
      <c r="P16" t="n">
        <v>2592364.99645737</v>
      </c>
      <c r="Q16" t="n">
        <v>2811193.57550377</v>
      </c>
      <c r="R16" t="n">
        <v>1065017.77255611</v>
      </c>
      <c r="S16" t="n">
        <v>808741.603270112</v>
      </c>
      <c r="T16" t="n">
        <v>33851913.7643885</v>
      </c>
      <c r="U16" t="n">
        <v>358478.238761335</v>
      </c>
      <c r="V16" t="n">
        <v>36116.0203991704</v>
      </c>
      <c r="W16" t="n">
        <v>26963315.5823598</v>
      </c>
      <c r="X16" t="n">
        <v>2830169.58955886</v>
      </c>
      <c r="Y16" t="n">
        <v>28120447.8393171</v>
      </c>
      <c r="Z16" t="n">
        <v>7052904.29152764</v>
      </c>
      <c r="AA16" t="n">
        <v>12642800.2026957</v>
      </c>
      <c r="AB16" t="n">
        <v>31044221.8181484</v>
      </c>
      <c r="AC16" t="n">
        <v>12317816.4718361</v>
      </c>
      <c r="AD16" t="n">
        <v>7056265.2695061</v>
      </c>
      <c r="AE16" t="n">
        <v>28673431.6295871</v>
      </c>
      <c r="AF16" t="n">
        <v>22118044.4260091</v>
      </c>
      <c r="AG16" t="n">
        <v>315473.218745397</v>
      </c>
      <c r="AH16" t="n">
        <v>40596016.1087776</v>
      </c>
      <c r="AI16" t="n">
        <v>25568.6577743411</v>
      </c>
      <c r="AJ16" t="n">
        <v>9389396.68705768</v>
      </c>
      <c r="AK16" t="n">
        <v>858105.123674912</v>
      </c>
      <c r="AL16" t="n">
        <v>2468745.02043229</v>
      </c>
      <c r="AM16" t="n">
        <v>7701010.32545673</v>
      </c>
      <c r="AN16" t="n">
        <v>6129133.16069238</v>
      </c>
      <c r="AO16" t="n">
        <v>188464.620013034</v>
      </c>
      <c r="AP16" t="n">
        <v>73622.4518606323</v>
      </c>
      <c r="AQ16" t="n">
        <v>6593003.95359362</v>
      </c>
      <c r="AR16" t="n">
        <v>1746124.11140102</v>
      </c>
      <c r="AS16" t="n">
        <v>30276890.2118529</v>
      </c>
      <c r="AT16" t="n">
        <v>2980545.46106153</v>
      </c>
      <c r="AU16" t="n">
        <v>3687412.19866423</v>
      </c>
      <c r="AV16" t="n">
        <v>256866.096866097</v>
      </c>
      <c r="AW16" t="n">
        <v>462976785.501032</v>
      </c>
      <c r="AX16" t="n">
        <v>132108424.250021</v>
      </c>
      <c r="AY16" t="n">
        <v>3996981.09779013</v>
      </c>
      <c r="AZ16" t="n">
        <v>557227.348082484</v>
      </c>
      <c r="BA16" t="n">
        <v>262201.898067184</v>
      </c>
      <c r="BB16" t="n">
        <v>7244707.23889733</v>
      </c>
      <c r="BC16" t="n">
        <v>11792575.3608395</v>
      </c>
      <c r="BD16" t="n">
        <v>5275250.38854806</v>
      </c>
      <c r="BE16" t="n">
        <v>1083593.87302812</v>
      </c>
      <c r="BF16" t="n">
        <v>6662439.18321438</v>
      </c>
      <c r="BG16" t="n">
        <v>5699078.56159112</v>
      </c>
      <c r="BH16" t="n">
        <v>8656769.88487005</v>
      </c>
      <c r="BI16" t="n">
        <v>5281158.57964289</v>
      </c>
      <c r="BJ16" t="n">
        <v>5110651.85427218</v>
      </c>
      <c r="BK16" t="n">
        <v>538372.630934673</v>
      </c>
      <c r="BL16" t="n">
        <v>2175801.96052046</v>
      </c>
      <c r="BM16" t="n">
        <v>12248297.5043749</v>
      </c>
      <c r="BN16" t="n">
        <v>16214754.3157439</v>
      </c>
      <c r="BO16" t="n">
        <v>26539625.9186714</v>
      </c>
      <c r="BP16" t="n">
        <v>26860116.4732969</v>
      </c>
      <c r="BQ16" t="n">
        <v>2971406.33124383</v>
      </c>
      <c r="BR16" t="n">
        <v>3585451.72552781</v>
      </c>
      <c r="BS16" t="n">
        <v>280882408.530239</v>
      </c>
      <c r="BT16" t="n">
        <v>278595599.604741</v>
      </c>
      <c r="BU16" t="n">
        <v>0</v>
      </c>
      <c r="BV16" t="n">
        <v>2939562997.04815</v>
      </c>
      <c r="BW16" t="n">
        <v>0</v>
      </c>
      <c r="BX16" t="n">
        <v>0</v>
      </c>
      <c r="BY16" t="n">
        <v>4132961516.48348</v>
      </c>
      <c r="BZ16" t="n">
        <v>0</v>
      </c>
      <c r="CA16" t="n">
        <v>580231.230580179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64296356.9102839</v>
      </c>
      <c r="CI16" t="n">
        <v>0</v>
      </c>
      <c r="CJ16" t="n">
        <v>0</v>
      </c>
      <c r="CK16" t="n">
        <v>0</v>
      </c>
      <c r="CL16" t="n">
        <v>2178559999.63539</v>
      </c>
      <c r="CM16" t="n">
        <v>0</v>
      </c>
      <c r="CN16" t="n">
        <v>0</v>
      </c>
    </row>
    <row r="17">
      <c r="A17" t="s">
        <v>128</v>
      </c>
      <c r="B17" t="n">
        <v>3824106.53625612</v>
      </c>
      <c r="C17" t="n">
        <v>486156.741607546</v>
      </c>
      <c r="D17" t="n">
        <v>0</v>
      </c>
      <c r="E17" t="n">
        <v>588252.645486663</v>
      </c>
      <c r="F17" t="n">
        <v>882766.262629626</v>
      </c>
      <c r="G17" t="n">
        <v>35165.2217807007</v>
      </c>
      <c r="H17" t="n">
        <v>163196882.096832</v>
      </c>
      <c r="I17" t="n">
        <v>422373327.384761</v>
      </c>
      <c r="J17" t="n">
        <v>792352.454327378</v>
      </c>
      <c r="K17" t="n">
        <v>8826040.18383387</v>
      </c>
      <c r="L17" t="n">
        <v>1521894.1694605</v>
      </c>
      <c r="M17" t="n">
        <v>5163417.81864464</v>
      </c>
      <c r="N17" t="n">
        <v>171411.654587244</v>
      </c>
      <c r="O17" t="n">
        <v>4176188.96327735</v>
      </c>
      <c r="P17" t="n">
        <v>6512024.55155326</v>
      </c>
      <c r="Q17" t="n">
        <v>891052.853833766</v>
      </c>
      <c r="R17" t="n">
        <v>34305351.8259848</v>
      </c>
      <c r="S17" t="n">
        <v>1940741.42686097</v>
      </c>
      <c r="T17" t="n">
        <v>4264719.34619866</v>
      </c>
      <c r="U17" t="n">
        <v>134523.670596892</v>
      </c>
      <c r="V17" t="n">
        <v>0</v>
      </c>
      <c r="W17" t="n">
        <v>69977103.6889615</v>
      </c>
      <c r="X17" t="n">
        <v>8816.72769332978</v>
      </c>
      <c r="Y17" t="n">
        <v>0</v>
      </c>
      <c r="Z17" t="n">
        <v>596840.025448936</v>
      </c>
      <c r="AA17" t="n">
        <v>20822406.39727</v>
      </c>
      <c r="AB17" t="n">
        <v>34596323.4612932</v>
      </c>
      <c r="AC17" t="n">
        <v>857034.18393883</v>
      </c>
      <c r="AD17" t="n">
        <v>2791478.04569535</v>
      </c>
      <c r="AE17" t="n">
        <v>1473093.43641259</v>
      </c>
      <c r="AF17" t="n">
        <v>3842183.26767829</v>
      </c>
      <c r="AG17" t="n">
        <v>0</v>
      </c>
      <c r="AH17" t="n">
        <v>26715784.6991331</v>
      </c>
      <c r="AI17" t="n">
        <v>0</v>
      </c>
      <c r="AJ17" t="n">
        <v>2073756.75537742</v>
      </c>
      <c r="AK17" t="n">
        <v>0</v>
      </c>
      <c r="AL17" t="n">
        <v>17845.048550455</v>
      </c>
      <c r="AM17" t="n">
        <v>230734.812334621</v>
      </c>
      <c r="AN17" t="n">
        <v>618309.637240163</v>
      </c>
      <c r="AO17" t="n">
        <v>39466.7542700233</v>
      </c>
      <c r="AP17" t="n">
        <v>55894.9850366045</v>
      </c>
      <c r="AQ17" t="n">
        <v>1460057.54027476</v>
      </c>
      <c r="AR17" t="n">
        <v>1415591.44287397</v>
      </c>
      <c r="AS17" t="n">
        <v>920920.979225767</v>
      </c>
      <c r="AT17" t="n">
        <v>7830.38485009925</v>
      </c>
      <c r="AU17" t="n">
        <v>0</v>
      </c>
      <c r="AV17" t="n">
        <v>0</v>
      </c>
      <c r="AW17" t="n">
        <v>87551.080787038</v>
      </c>
      <c r="AX17" t="n">
        <v>15917752.6248987</v>
      </c>
      <c r="AY17" t="n">
        <v>1286446.61291574</v>
      </c>
      <c r="AZ17" t="n">
        <v>28486.021869576</v>
      </c>
      <c r="BA17" t="n">
        <v>87129.5475439047</v>
      </c>
      <c r="BB17" t="n">
        <v>1755737.34999747</v>
      </c>
      <c r="BC17" t="n">
        <v>45841.5508007669</v>
      </c>
      <c r="BD17" t="n">
        <v>3873687.84216419</v>
      </c>
      <c r="BE17" t="n">
        <v>166441.737100846</v>
      </c>
      <c r="BF17" t="n">
        <v>86777.5835595776</v>
      </c>
      <c r="BG17" t="n">
        <v>2072128.34779289</v>
      </c>
      <c r="BH17" t="n">
        <v>2423296.6071023</v>
      </c>
      <c r="BI17" t="n">
        <v>28791.8463132572</v>
      </c>
      <c r="BJ17" t="n">
        <v>3626524.92398451</v>
      </c>
      <c r="BK17" t="n">
        <v>10765.4287307495</v>
      </c>
      <c r="BL17" t="n">
        <v>398404.09098064</v>
      </c>
      <c r="BM17" t="n">
        <v>2774594.86422496</v>
      </c>
      <c r="BN17" t="n">
        <v>4008235.03608605</v>
      </c>
      <c r="BO17" t="n">
        <v>1823573.28746564</v>
      </c>
      <c r="BP17" t="n">
        <v>49973.933247285</v>
      </c>
      <c r="BQ17" t="n">
        <v>162777.348648688</v>
      </c>
      <c r="BR17" t="n">
        <v>11747.9327947484</v>
      </c>
      <c r="BS17" t="n">
        <v>13932274.343597</v>
      </c>
      <c r="BT17" t="n">
        <v>1077202.17841882</v>
      </c>
      <c r="BU17" t="n">
        <v>23108818.999297</v>
      </c>
      <c r="BV17" t="n">
        <v>3432962.52424546</v>
      </c>
      <c r="BW17" t="n">
        <v>0</v>
      </c>
      <c r="BX17" t="n">
        <v>0</v>
      </c>
      <c r="BY17" t="n">
        <v>35879718.6055309</v>
      </c>
      <c r="BZ17" t="n">
        <v>10927458.1757672</v>
      </c>
      <c r="CA17" t="n">
        <v>5560484.51883689</v>
      </c>
      <c r="CB17" t="n">
        <v>-215730595.433244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1155856.32247722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109014.868686321</v>
      </c>
      <c r="C18" t="n">
        <v>417878.030176216</v>
      </c>
      <c r="D18" t="n">
        <v>795736.103606288</v>
      </c>
      <c r="E18" t="n">
        <v>1509800.26876789</v>
      </c>
      <c r="F18" t="n">
        <v>2857912.70318822</v>
      </c>
      <c r="G18" t="n">
        <v>362517.674520939</v>
      </c>
      <c r="H18" t="n">
        <v>241481736.255746</v>
      </c>
      <c r="I18" t="n">
        <v>14932785.6670379</v>
      </c>
      <c r="J18" t="n">
        <v>58532772.6980694</v>
      </c>
      <c r="K18" t="n">
        <v>39764783.9514868</v>
      </c>
      <c r="L18" t="n">
        <v>12177281.2290935</v>
      </c>
      <c r="M18" t="n">
        <v>10796180.7927905</v>
      </c>
      <c r="N18" t="n">
        <v>184980.11711256</v>
      </c>
      <c r="O18" t="n">
        <v>11091965.1219252</v>
      </c>
      <c r="P18" t="n">
        <v>13970837.2463194</v>
      </c>
      <c r="Q18" t="n">
        <v>1295543.42128413</v>
      </c>
      <c r="R18" t="n">
        <v>1853446.93638646</v>
      </c>
      <c r="S18" t="n">
        <v>1283238.65678613</v>
      </c>
      <c r="T18" t="n">
        <v>42350944.5984818</v>
      </c>
      <c r="U18" t="n">
        <v>61465.6581177313</v>
      </c>
      <c r="V18" t="n">
        <v>0</v>
      </c>
      <c r="W18" t="n">
        <v>6864973.71746725</v>
      </c>
      <c r="X18" t="n">
        <v>5132.79242306461</v>
      </c>
      <c r="Y18" t="n">
        <v>3415553.75274829</v>
      </c>
      <c r="Z18" t="n">
        <v>3178365.5933262</v>
      </c>
      <c r="AA18" t="n">
        <v>19249521.911706</v>
      </c>
      <c r="AB18" t="n">
        <v>477624.42264467</v>
      </c>
      <c r="AC18" t="n">
        <v>1281112.92835721</v>
      </c>
      <c r="AD18" t="n">
        <v>239805.854033992</v>
      </c>
      <c r="AE18" t="n">
        <v>2504785.40970251</v>
      </c>
      <c r="AF18" t="n">
        <v>2222871.89667178</v>
      </c>
      <c r="AG18" t="n">
        <v>0</v>
      </c>
      <c r="AH18" t="n">
        <v>159061.710472667</v>
      </c>
      <c r="AI18" t="n">
        <v>0</v>
      </c>
      <c r="AJ18" t="n">
        <v>1445935.87415484</v>
      </c>
      <c r="AK18" t="n">
        <v>0</v>
      </c>
      <c r="AL18" t="n">
        <v>0</v>
      </c>
      <c r="AM18" t="n">
        <v>53831.7246254618</v>
      </c>
      <c r="AN18" t="n">
        <v>406161.507782411</v>
      </c>
      <c r="AO18" t="n">
        <v>1556.27732441396</v>
      </c>
      <c r="AP18" t="n">
        <v>587.12921373775</v>
      </c>
      <c r="AQ18" t="n">
        <v>4970793.31190166</v>
      </c>
      <c r="AR18" t="n">
        <v>883857.685735212</v>
      </c>
      <c r="AS18" t="n">
        <v>110856.521570927</v>
      </c>
      <c r="AT18" t="n">
        <v>36448.691489037</v>
      </c>
      <c r="AU18" t="n">
        <v>123140.292378632</v>
      </c>
      <c r="AV18" t="n">
        <v>0</v>
      </c>
      <c r="AW18" t="n">
        <v>359854.747426197</v>
      </c>
      <c r="AX18" t="n">
        <v>128368.759359063</v>
      </c>
      <c r="AY18" t="n">
        <v>1775976.25247772</v>
      </c>
      <c r="AZ18" t="n">
        <v>0</v>
      </c>
      <c r="BA18" t="n">
        <v>357280.54376366</v>
      </c>
      <c r="BB18" t="n">
        <v>9263717.58580129</v>
      </c>
      <c r="BC18" t="n">
        <v>432919.458395732</v>
      </c>
      <c r="BD18" t="n">
        <v>3229477.39498029</v>
      </c>
      <c r="BE18" t="n">
        <v>1535539.27503911</v>
      </c>
      <c r="BF18" t="n">
        <v>177952.686292464</v>
      </c>
      <c r="BG18" t="n">
        <v>10877668.8798559</v>
      </c>
      <c r="BH18" t="n">
        <v>13291597.5104083</v>
      </c>
      <c r="BI18" t="n">
        <v>738167.052662169</v>
      </c>
      <c r="BJ18" t="n">
        <v>2343438.02121804</v>
      </c>
      <c r="BK18" t="n">
        <v>16911.5003969284</v>
      </c>
      <c r="BL18" t="n">
        <v>317567.803661851</v>
      </c>
      <c r="BM18" t="n">
        <v>268474.404680523</v>
      </c>
      <c r="BN18" t="n">
        <v>10704359.9015357</v>
      </c>
      <c r="BO18" t="n">
        <v>6752041.14647267</v>
      </c>
      <c r="BP18" t="n">
        <v>132748.326865333</v>
      </c>
      <c r="BQ18" t="n">
        <v>2092235.12920314</v>
      </c>
      <c r="BR18" t="n">
        <v>0</v>
      </c>
      <c r="BS18" t="n">
        <v>9755610.79421803</v>
      </c>
      <c r="BT18" t="n">
        <v>9391533.80977918</v>
      </c>
      <c r="BU18" t="n">
        <v>71421811.0199133</v>
      </c>
      <c r="BV18" t="n">
        <v>0</v>
      </c>
      <c r="BW18" t="n">
        <v>0</v>
      </c>
      <c r="BX18" t="n">
        <v>0</v>
      </c>
      <c r="BY18" t="n">
        <v>0</v>
      </c>
      <c r="BZ18" t="n">
        <v>7305297.24230114</v>
      </c>
      <c r="CA18" t="n">
        <v>18389655.231119</v>
      </c>
      <c r="CB18" t="n">
        <v>-201148330.930164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674458.168359597</v>
      </c>
      <c r="C19" t="n">
        <v>0</v>
      </c>
      <c r="D19" t="n">
        <v>2742822.38507964</v>
      </c>
      <c r="E19" t="n">
        <v>1429640.17589371</v>
      </c>
      <c r="F19" t="n">
        <v>1533544.46131487</v>
      </c>
      <c r="G19" t="n">
        <v>17493.6007941538</v>
      </c>
      <c r="H19" t="n">
        <v>16059438.381301</v>
      </c>
      <c r="I19" t="n">
        <v>3901445.91702601</v>
      </c>
      <c r="J19" t="n">
        <v>5175209.36599027</v>
      </c>
      <c r="K19" t="n">
        <v>1274810791.77248</v>
      </c>
      <c r="L19" t="n">
        <v>441418417.986762</v>
      </c>
      <c r="M19" t="n">
        <v>182337379.903976</v>
      </c>
      <c r="N19" t="n">
        <v>2751531.36197239</v>
      </c>
      <c r="O19" t="n">
        <v>77788872.8787062</v>
      </c>
      <c r="P19" t="n">
        <v>71439097.0647107</v>
      </c>
      <c r="Q19" t="n">
        <v>25537632.2585058</v>
      </c>
      <c r="R19" t="n">
        <v>14178349.5900412</v>
      </c>
      <c r="S19" t="n">
        <v>7965332.77187546</v>
      </c>
      <c r="T19" t="n">
        <v>20791576.4053358</v>
      </c>
      <c r="U19" t="n">
        <v>119275.408149192</v>
      </c>
      <c r="V19" t="n">
        <v>0</v>
      </c>
      <c r="W19" t="n">
        <v>13985445.0136063</v>
      </c>
      <c r="X19" t="n">
        <v>64354.1797083915</v>
      </c>
      <c r="Y19" t="n">
        <v>29066.3613571301</v>
      </c>
      <c r="Z19" t="n">
        <v>119924.887623046</v>
      </c>
      <c r="AA19" t="n">
        <v>13768363.1400891</v>
      </c>
      <c r="AB19" t="n">
        <v>2467108.89924836</v>
      </c>
      <c r="AC19" t="n">
        <v>32741.7981954968</v>
      </c>
      <c r="AD19" t="n">
        <v>0</v>
      </c>
      <c r="AE19" t="n">
        <v>0</v>
      </c>
      <c r="AF19" t="n">
        <v>2196838.87789779</v>
      </c>
      <c r="AG19" t="n">
        <v>0</v>
      </c>
      <c r="AH19" t="n">
        <v>5304623.57991376</v>
      </c>
      <c r="AI19" t="n">
        <v>0</v>
      </c>
      <c r="AJ19" t="n">
        <v>0</v>
      </c>
      <c r="AK19" t="n">
        <v>0</v>
      </c>
      <c r="AL19" t="n">
        <v>0</v>
      </c>
      <c r="AM19" t="n">
        <v>476933.155008379</v>
      </c>
      <c r="AN19" t="n">
        <v>0</v>
      </c>
      <c r="AO19" t="n">
        <v>9990.39618931864</v>
      </c>
      <c r="AP19" t="n">
        <v>5697.72238045245</v>
      </c>
      <c r="AQ19" t="n">
        <v>636856.217940489</v>
      </c>
      <c r="AR19" t="n">
        <v>691477.716228636</v>
      </c>
      <c r="AS19" t="n">
        <v>0</v>
      </c>
      <c r="AT19" t="n">
        <v>0</v>
      </c>
      <c r="AU19" t="n">
        <v>0</v>
      </c>
      <c r="AV19" t="n">
        <v>0</v>
      </c>
      <c r="AW19" t="n">
        <v>2719.97401786651</v>
      </c>
      <c r="AX19" t="n">
        <v>4493246.25365942</v>
      </c>
      <c r="AY19" t="n">
        <v>231560.646208023</v>
      </c>
      <c r="AZ19" t="n">
        <v>0</v>
      </c>
      <c r="BA19" t="n">
        <v>0</v>
      </c>
      <c r="BB19" t="n">
        <v>3038631.76096915</v>
      </c>
      <c r="BC19" t="n">
        <v>410902.486083026</v>
      </c>
      <c r="BD19" t="n">
        <v>1943352.60916469</v>
      </c>
      <c r="BE19" t="n">
        <v>1317831.54228159</v>
      </c>
      <c r="BF19" t="n">
        <v>358845.181325797</v>
      </c>
      <c r="BG19" t="n">
        <v>815342.336079335</v>
      </c>
      <c r="BH19" t="n">
        <v>98993.3256820648</v>
      </c>
      <c r="BI19" t="n">
        <v>68666.7891126637</v>
      </c>
      <c r="BJ19" t="n">
        <v>1422664.97052438</v>
      </c>
      <c r="BK19" t="n">
        <v>31050.561445845</v>
      </c>
      <c r="BL19" t="n">
        <v>663610.443002302</v>
      </c>
      <c r="BM19" t="n">
        <v>85207.9222358938</v>
      </c>
      <c r="BN19" t="n">
        <v>433261.973510976</v>
      </c>
      <c r="BO19" t="n">
        <v>3563256.90278914</v>
      </c>
      <c r="BP19" t="n">
        <v>664471.246230067</v>
      </c>
      <c r="BQ19" t="n">
        <v>1670642.20426669</v>
      </c>
      <c r="BR19" t="n">
        <v>0</v>
      </c>
      <c r="BS19" t="n">
        <v>405484.834661203</v>
      </c>
      <c r="BT19" t="n">
        <v>2122550.92784506</v>
      </c>
      <c r="BU19" t="n">
        <v>2819033.41219215</v>
      </c>
      <c r="BV19" t="n">
        <v>0</v>
      </c>
      <c r="BW19" t="n">
        <v>0</v>
      </c>
      <c r="BX19" t="n">
        <v>0</v>
      </c>
      <c r="BY19" t="n">
        <v>0</v>
      </c>
      <c r="BZ19" t="n">
        <v>49684733.7044504</v>
      </c>
      <c r="CA19" t="n">
        <v>97197250.691519</v>
      </c>
      <c r="CB19" t="n">
        <v>-1226410060.36897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10338640.9352641</v>
      </c>
      <c r="C20" t="n">
        <v>757975.499631116</v>
      </c>
      <c r="D20" t="n">
        <v>4804729.19643738</v>
      </c>
      <c r="E20" t="n">
        <v>2565467.48295623</v>
      </c>
      <c r="F20" t="n">
        <v>2197987.43912511</v>
      </c>
      <c r="G20" t="n">
        <v>4804719.07306408</v>
      </c>
      <c r="H20" t="n">
        <v>214062770.994866</v>
      </c>
      <c r="I20" t="n">
        <v>33302526.0700145</v>
      </c>
      <c r="J20" t="n">
        <v>4781145.89069839</v>
      </c>
      <c r="K20" t="n">
        <v>50504769.4156833</v>
      </c>
      <c r="L20" t="n">
        <v>186485291.469892</v>
      </c>
      <c r="M20" t="n">
        <v>103012112.797979</v>
      </c>
      <c r="N20" t="n">
        <v>2654508.75729494</v>
      </c>
      <c r="O20" t="n">
        <v>35705382.8133339</v>
      </c>
      <c r="P20" t="n">
        <v>36107427.1954506</v>
      </c>
      <c r="Q20" t="n">
        <v>33209505.8176305</v>
      </c>
      <c r="R20" t="n">
        <v>14831209.4444251</v>
      </c>
      <c r="S20" t="n">
        <v>4537195.64639208</v>
      </c>
      <c r="T20" t="n">
        <v>117177682.13703</v>
      </c>
      <c r="U20" t="n">
        <v>613910.991897895</v>
      </c>
      <c r="V20" t="n">
        <v>86110.5841606129</v>
      </c>
      <c r="W20" t="n">
        <v>62406671.0477999</v>
      </c>
      <c r="X20" t="n">
        <v>2567159.4479594</v>
      </c>
      <c r="Y20" t="n">
        <v>2321440.80591287</v>
      </c>
      <c r="Z20" t="n">
        <v>14095087.5350121</v>
      </c>
      <c r="AA20" t="n">
        <v>50843594.3417647</v>
      </c>
      <c r="AB20" t="n">
        <v>8829698.71638697</v>
      </c>
      <c r="AC20" t="n">
        <v>1418916.69958557</v>
      </c>
      <c r="AD20" t="n">
        <v>729006.244369889</v>
      </c>
      <c r="AE20" t="n">
        <v>941295.503501283</v>
      </c>
      <c r="AF20" t="n">
        <v>6271702.71113562</v>
      </c>
      <c r="AG20" t="n">
        <v>127243.025918484</v>
      </c>
      <c r="AH20" t="n">
        <v>3354759.30673957</v>
      </c>
      <c r="AI20" t="n">
        <v>255893.740277296</v>
      </c>
      <c r="AJ20" t="n">
        <v>13935070.3309672</v>
      </c>
      <c r="AK20" t="n">
        <v>304365.826751553</v>
      </c>
      <c r="AL20" t="n">
        <v>1616316.13085421</v>
      </c>
      <c r="AM20" t="n">
        <v>1182712.76358667</v>
      </c>
      <c r="AN20" t="n">
        <v>2728337.06608928</v>
      </c>
      <c r="AO20" t="n">
        <v>356741.271618955</v>
      </c>
      <c r="AP20" t="n">
        <v>18126.2209442427</v>
      </c>
      <c r="AQ20" t="n">
        <v>15646639.3824809</v>
      </c>
      <c r="AR20" t="n">
        <v>1558271.92060276</v>
      </c>
      <c r="AS20" t="n">
        <v>1007387.72411306</v>
      </c>
      <c r="AT20" t="n">
        <v>152379.443317113</v>
      </c>
      <c r="AU20" t="n">
        <v>0</v>
      </c>
      <c r="AV20" t="n">
        <v>76883.4033732778</v>
      </c>
      <c r="AW20" t="n">
        <v>50494.677869308</v>
      </c>
      <c r="AX20" t="n">
        <v>3450940.9213147</v>
      </c>
      <c r="AY20" t="n">
        <v>3224996.05261415</v>
      </c>
      <c r="AZ20" t="n">
        <v>53315.674727265</v>
      </c>
      <c r="BA20" t="n">
        <v>3759863.9763333</v>
      </c>
      <c r="BB20" t="n">
        <v>7991853.89462215</v>
      </c>
      <c r="BC20" t="n">
        <v>3857614.91974197</v>
      </c>
      <c r="BD20" t="n">
        <v>6950181.84521437</v>
      </c>
      <c r="BE20" t="n">
        <v>11976690.2067353</v>
      </c>
      <c r="BF20" t="n">
        <v>692781.56741113</v>
      </c>
      <c r="BG20" t="n">
        <v>1198039.87207134</v>
      </c>
      <c r="BH20" t="n">
        <v>4900274.01552947</v>
      </c>
      <c r="BI20" t="n">
        <v>97103.7550379491</v>
      </c>
      <c r="BJ20" t="n">
        <v>10669949.6423752</v>
      </c>
      <c r="BK20" t="n">
        <v>42473.3666440855</v>
      </c>
      <c r="BL20" t="n">
        <v>988398.031982325</v>
      </c>
      <c r="BM20" t="n">
        <v>3236524.78679613</v>
      </c>
      <c r="BN20" t="n">
        <v>10799811.7504969</v>
      </c>
      <c r="BO20" t="n">
        <v>15114572.2784817</v>
      </c>
      <c r="BP20" t="n">
        <v>11429547.8932732</v>
      </c>
      <c r="BQ20" t="n">
        <v>3417237.79141925</v>
      </c>
      <c r="BR20" t="n">
        <v>612117.338264786</v>
      </c>
      <c r="BS20" t="n">
        <v>14839037.1491684</v>
      </c>
      <c r="BT20" t="n">
        <v>11829867.6488583</v>
      </c>
      <c r="BU20" t="n">
        <v>87484828.8833267</v>
      </c>
      <c r="BV20" t="n">
        <v>0</v>
      </c>
      <c r="BW20" t="n">
        <v>86945211.9704944</v>
      </c>
      <c r="BX20" t="n">
        <v>0</v>
      </c>
      <c r="BY20" t="n">
        <v>0</v>
      </c>
      <c r="BZ20" t="n">
        <v>43045856.7934833</v>
      </c>
      <c r="CA20" t="n">
        <v>161887589.320148</v>
      </c>
      <c r="CB20" t="n">
        <v>-520471526.846363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951769.838585031</v>
      </c>
      <c r="CJ20" t="n">
        <v>0</v>
      </c>
      <c r="CK20" t="n">
        <v>0</v>
      </c>
      <c r="CL20" t="n">
        <v>0</v>
      </c>
      <c r="CM20" t="n">
        <v>1047651.54784377</v>
      </c>
      <c r="CN20" t="n">
        <v>0</v>
      </c>
    </row>
    <row r="21">
      <c r="A21" t="s">
        <v>132</v>
      </c>
      <c r="B21" t="n">
        <v>17467333.3012261</v>
      </c>
      <c r="C21" t="n">
        <v>277879.499403873</v>
      </c>
      <c r="D21" t="n">
        <v>5694853.31886508</v>
      </c>
      <c r="E21" t="n">
        <v>13404739.7535645</v>
      </c>
      <c r="F21" t="n">
        <v>15620473.4627127</v>
      </c>
      <c r="G21" t="n">
        <v>11314544.5441627</v>
      </c>
      <c r="H21" t="n">
        <v>110508795.908571</v>
      </c>
      <c r="I21" t="n">
        <v>6835822.8587433</v>
      </c>
      <c r="J21" t="n">
        <v>451201.109023638</v>
      </c>
      <c r="K21" t="n">
        <v>14110126.4536553</v>
      </c>
      <c r="L21" t="n">
        <v>34858369.5529351</v>
      </c>
      <c r="M21" t="n">
        <v>207248855.954866</v>
      </c>
      <c r="N21" t="n">
        <v>263653.524213219</v>
      </c>
      <c r="O21" t="n">
        <v>12944502.3090143</v>
      </c>
      <c r="P21" t="n">
        <v>66150923.9435426</v>
      </c>
      <c r="Q21" t="n">
        <v>13146130.9877077</v>
      </c>
      <c r="R21" t="n">
        <v>520377.138658649</v>
      </c>
      <c r="S21" t="n">
        <v>1249529.25651502</v>
      </c>
      <c r="T21" t="n">
        <v>46452819.511214</v>
      </c>
      <c r="U21" t="n">
        <v>53281.2628236604</v>
      </c>
      <c r="V21" t="n">
        <v>2403.94236060973</v>
      </c>
      <c r="W21" t="n">
        <v>21702449.617318</v>
      </c>
      <c r="X21" t="n">
        <v>7435738.70824818</v>
      </c>
      <c r="Y21" t="n">
        <v>157013.12263326</v>
      </c>
      <c r="Z21" t="n">
        <v>8671910.17065346</v>
      </c>
      <c r="AA21" t="n">
        <v>17541616.4799002</v>
      </c>
      <c r="AB21" t="n">
        <v>12763817.9940748</v>
      </c>
      <c r="AC21" t="n">
        <v>1117001.90317669</v>
      </c>
      <c r="AD21" t="n">
        <v>504973.528979766</v>
      </c>
      <c r="AE21" t="n">
        <v>972851.939499282</v>
      </c>
      <c r="AF21" t="n">
        <v>2718974.48005792</v>
      </c>
      <c r="AG21" t="n">
        <v>3684.32904342851</v>
      </c>
      <c r="AH21" t="n">
        <v>484920.556150715</v>
      </c>
      <c r="AI21" t="n">
        <v>20848.6473634888</v>
      </c>
      <c r="AJ21" t="n">
        <v>4795847.75482383</v>
      </c>
      <c r="AK21" t="n">
        <v>48756.583904644</v>
      </c>
      <c r="AL21" t="n">
        <v>137429.381237354</v>
      </c>
      <c r="AM21" t="n">
        <v>26972897.9492339</v>
      </c>
      <c r="AN21" t="n">
        <v>6438232.38833566</v>
      </c>
      <c r="AO21" t="n">
        <v>51022.9984062726</v>
      </c>
      <c r="AP21" t="n">
        <v>17322.5148019731</v>
      </c>
      <c r="AQ21" t="n">
        <v>1940028.55532417</v>
      </c>
      <c r="AR21" t="n">
        <v>662263.214510172</v>
      </c>
      <c r="AS21" t="n">
        <v>18919.7656271383</v>
      </c>
      <c r="AT21" t="n">
        <v>38994.082114178</v>
      </c>
      <c r="AU21" t="n">
        <v>2194685.93377217</v>
      </c>
      <c r="AV21" t="n">
        <v>0</v>
      </c>
      <c r="AW21" t="n">
        <v>114594.365653215</v>
      </c>
      <c r="AX21" t="n">
        <v>167581.687050859</v>
      </c>
      <c r="AY21" t="n">
        <v>1727882.67188072</v>
      </c>
      <c r="AZ21" t="n">
        <v>28539.7545515168</v>
      </c>
      <c r="BA21" t="n">
        <v>5307737.93558715</v>
      </c>
      <c r="BB21" t="n">
        <v>5487093.28594319</v>
      </c>
      <c r="BC21" t="n">
        <v>2993768.91369887</v>
      </c>
      <c r="BD21" t="n">
        <v>15583387.7767977</v>
      </c>
      <c r="BE21" t="n">
        <v>26548962.0490144</v>
      </c>
      <c r="BF21" t="n">
        <v>3985919.70827648</v>
      </c>
      <c r="BG21" t="n">
        <v>4672358.56347231</v>
      </c>
      <c r="BH21" t="n">
        <v>3314923.32424499</v>
      </c>
      <c r="BI21" t="n">
        <v>647142.578888202</v>
      </c>
      <c r="BJ21" t="n">
        <v>834910.792761183</v>
      </c>
      <c r="BK21" t="n">
        <v>31976.5009561532</v>
      </c>
      <c r="BL21" t="n">
        <v>385179.866995474</v>
      </c>
      <c r="BM21" t="n">
        <v>167569.792430874</v>
      </c>
      <c r="BN21" t="n">
        <v>2455916.57270573</v>
      </c>
      <c r="BO21" t="n">
        <v>26336151.1159787</v>
      </c>
      <c r="BP21" t="n">
        <v>2742604.85554822</v>
      </c>
      <c r="BQ21" t="n">
        <v>831099.530077553</v>
      </c>
      <c r="BR21" t="n">
        <v>215987.555511111</v>
      </c>
      <c r="BS21" t="n">
        <v>23259445.0499956</v>
      </c>
      <c r="BT21" t="n">
        <v>8764231.24012087</v>
      </c>
      <c r="BU21" t="n">
        <v>58940981.6287258</v>
      </c>
      <c r="BV21" t="n">
        <v>0</v>
      </c>
      <c r="BW21" t="n">
        <v>1401349271.89603</v>
      </c>
      <c r="BX21" t="n">
        <v>0</v>
      </c>
      <c r="BY21" t="n">
        <v>0</v>
      </c>
      <c r="BZ21" t="n">
        <v>32397460.6247097</v>
      </c>
      <c r="CA21" t="n">
        <v>380781585.131317</v>
      </c>
      <c r="CB21" t="n">
        <v>-1472759690.89669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104646.977548913</v>
      </c>
      <c r="CJ21" t="n">
        <v>0</v>
      </c>
      <c r="CK21" t="n">
        <v>0</v>
      </c>
      <c r="CL21" t="n">
        <v>0</v>
      </c>
      <c r="CM21" t="n">
        <v>46994282.727673</v>
      </c>
      <c r="CN21" t="n">
        <v>0</v>
      </c>
    </row>
    <row r="22">
      <c r="A22" t="s">
        <v>133</v>
      </c>
      <c r="B22" t="n">
        <v>98910.4763666116</v>
      </c>
      <c r="C22" t="n">
        <v>0</v>
      </c>
      <c r="D22" t="n">
        <v>49275.8272184591</v>
      </c>
      <c r="E22" t="n">
        <v>114898.350667022</v>
      </c>
      <c r="F22" t="n">
        <v>549039.362898084</v>
      </c>
      <c r="G22" t="n">
        <v>457885.522547396</v>
      </c>
      <c r="H22" t="n">
        <v>22192169.8789039</v>
      </c>
      <c r="I22" t="n">
        <v>12420441.9039918</v>
      </c>
      <c r="J22" t="n">
        <v>1494761.58178547</v>
      </c>
      <c r="K22" t="n">
        <v>14498480.4975631</v>
      </c>
      <c r="L22" t="n">
        <v>30002130.2975813</v>
      </c>
      <c r="M22" t="n">
        <v>27921551.9547318</v>
      </c>
      <c r="N22" t="n">
        <v>17328068.3545662</v>
      </c>
      <c r="O22" t="n">
        <v>11196866.0780796</v>
      </c>
      <c r="P22" t="n">
        <v>33371520.2907069</v>
      </c>
      <c r="Q22" t="n">
        <v>44099974.5796725</v>
      </c>
      <c r="R22" t="n">
        <v>2900807.15864309</v>
      </c>
      <c r="S22" t="n">
        <v>1954766.33376008</v>
      </c>
      <c r="T22" t="n">
        <v>26776121.6577889</v>
      </c>
      <c r="U22" t="n">
        <v>417732.418002988</v>
      </c>
      <c r="V22" t="n">
        <v>28959.7142342517</v>
      </c>
      <c r="W22" t="n">
        <v>715801.382435521</v>
      </c>
      <c r="X22" t="n">
        <v>3069902.80075058</v>
      </c>
      <c r="Y22" t="n">
        <v>751619.310931659</v>
      </c>
      <c r="Z22" t="n">
        <v>7552067.3513307</v>
      </c>
      <c r="AA22" t="n">
        <v>13988751.9430775</v>
      </c>
      <c r="AB22" t="n">
        <v>193353215.04635</v>
      </c>
      <c r="AC22" t="n">
        <v>4500729.66215598</v>
      </c>
      <c r="AD22" t="n">
        <v>1846458.51229792</v>
      </c>
      <c r="AE22" t="n">
        <v>5247776.55005624</v>
      </c>
      <c r="AF22" t="n">
        <v>6206672.48011772</v>
      </c>
      <c r="AG22" t="n">
        <v>3765.7677104411</v>
      </c>
      <c r="AH22" t="n">
        <v>443436.931740003</v>
      </c>
      <c r="AI22" t="n">
        <v>117.121472818147</v>
      </c>
      <c r="AJ22" t="n">
        <v>2959223.63881425</v>
      </c>
      <c r="AK22" t="n">
        <v>3010.89517078916</v>
      </c>
      <c r="AL22" t="n">
        <v>21486.0315094194</v>
      </c>
      <c r="AM22" t="n">
        <v>281755.988563313</v>
      </c>
      <c r="AN22" t="n">
        <v>705864.760392963</v>
      </c>
      <c r="AO22" t="n">
        <v>2061707.46768699</v>
      </c>
      <c r="AP22" t="n">
        <v>351806.096014776</v>
      </c>
      <c r="AQ22" t="n">
        <v>30555151.3305026</v>
      </c>
      <c r="AR22" t="n">
        <v>9796843.8065646</v>
      </c>
      <c r="AS22" t="n">
        <v>2208324.2820796</v>
      </c>
      <c r="AT22" t="n">
        <v>1169266.48075914</v>
      </c>
      <c r="AU22" t="n">
        <v>166723.429462617</v>
      </c>
      <c r="AV22" t="n">
        <v>2693039.22381147</v>
      </c>
      <c r="AW22" t="n">
        <v>1933.60514319669</v>
      </c>
      <c r="AX22" t="n">
        <v>1308918.14915527</v>
      </c>
      <c r="AY22" t="n">
        <v>407207.394531319</v>
      </c>
      <c r="AZ22" t="n">
        <v>2358609.24466208</v>
      </c>
      <c r="BA22" t="n">
        <v>10507367.3916124</v>
      </c>
      <c r="BB22" t="n">
        <v>18479867.0231763</v>
      </c>
      <c r="BC22" t="n">
        <v>54080213.3709757</v>
      </c>
      <c r="BD22" t="n">
        <v>24676793.9038617</v>
      </c>
      <c r="BE22" t="n">
        <v>4650079.22995596</v>
      </c>
      <c r="BF22" t="n">
        <v>1590409.83108024</v>
      </c>
      <c r="BG22" t="n">
        <v>30991822.0352441</v>
      </c>
      <c r="BH22" t="n">
        <v>3421592.93855223</v>
      </c>
      <c r="BI22" t="n">
        <v>690411.03319393</v>
      </c>
      <c r="BJ22" t="n">
        <v>3520133.44745819</v>
      </c>
      <c r="BK22" t="n">
        <v>41714.5008412029</v>
      </c>
      <c r="BL22" t="n">
        <v>364736.020565487</v>
      </c>
      <c r="BM22" t="n">
        <v>678325.36880337</v>
      </c>
      <c r="BN22" t="n">
        <v>796301.78303735</v>
      </c>
      <c r="BO22" t="n">
        <v>15602567.5439639</v>
      </c>
      <c r="BP22" t="n">
        <v>19529293.6120263</v>
      </c>
      <c r="BQ22" t="n">
        <v>10646728.8021275</v>
      </c>
      <c r="BR22" t="n">
        <v>0</v>
      </c>
      <c r="BS22" t="n">
        <v>10008227.3093455</v>
      </c>
      <c r="BT22" t="n">
        <v>4907861.92299656</v>
      </c>
      <c r="BU22" t="n">
        <v>593930001.293989</v>
      </c>
      <c r="BV22" t="n">
        <v>0</v>
      </c>
      <c r="BW22" t="n">
        <v>167934407.620694</v>
      </c>
      <c r="BX22" t="n">
        <v>0</v>
      </c>
      <c r="BY22" t="n">
        <v>1537411.8545254</v>
      </c>
      <c r="BZ22" t="n">
        <v>2152001.44455645</v>
      </c>
      <c r="CA22" t="n">
        <v>64840394.2002295</v>
      </c>
      <c r="CB22" t="n">
        <v>-1349531771.70021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2421273.61749231</v>
      </c>
      <c r="CJ22" t="n">
        <v>0</v>
      </c>
      <c r="CK22" t="n">
        <v>0</v>
      </c>
      <c r="CL22" t="n">
        <v>0</v>
      </c>
      <c r="CM22" t="n">
        <v>48555412.505082</v>
      </c>
      <c r="CN22" t="n">
        <v>0</v>
      </c>
    </row>
    <row r="23">
      <c r="A23" t="s">
        <v>134</v>
      </c>
      <c r="B23" t="n">
        <v>17878693.1407269</v>
      </c>
      <c r="C23" t="n">
        <v>373309.831522726</v>
      </c>
      <c r="D23" t="n">
        <v>96681.4523005882</v>
      </c>
      <c r="E23" t="n">
        <v>264062.615000873</v>
      </c>
      <c r="F23" t="n">
        <v>2004572.43682089</v>
      </c>
      <c r="G23" t="n">
        <v>134454.3614109</v>
      </c>
      <c r="H23" t="n">
        <v>133827695.120287</v>
      </c>
      <c r="I23" t="n">
        <v>7828928.30710581</v>
      </c>
      <c r="J23" t="n">
        <v>450661.765344304</v>
      </c>
      <c r="K23" t="n">
        <v>29298082.5248491</v>
      </c>
      <c r="L23" t="n">
        <v>22258972.7385962</v>
      </c>
      <c r="M23" t="n">
        <v>92737420.0660228</v>
      </c>
      <c r="N23" t="n">
        <v>1676409.23574416</v>
      </c>
      <c r="O23" t="n">
        <v>64519012.4959878</v>
      </c>
      <c r="P23" t="n">
        <v>11996735.8845799</v>
      </c>
      <c r="Q23" t="n">
        <v>6096014.87784932</v>
      </c>
      <c r="R23" t="n">
        <v>689363.244692057</v>
      </c>
      <c r="S23" t="n">
        <v>1422678.55136017</v>
      </c>
      <c r="T23" t="n">
        <v>20286572.0278007</v>
      </c>
      <c r="U23" t="n">
        <v>107237.079971339</v>
      </c>
      <c r="V23" t="n">
        <v>6019.33673319506</v>
      </c>
      <c r="W23" t="n">
        <v>9292781.10140514</v>
      </c>
      <c r="X23" t="n">
        <v>476103.295439808</v>
      </c>
      <c r="Y23" t="n">
        <v>509646.580419422</v>
      </c>
      <c r="Z23" t="n">
        <v>2413600.06973709</v>
      </c>
      <c r="AA23" t="n">
        <v>10395998.1842951</v>
      </c>
      <c r="AB23" t="n">
        <v>5340944.77161114</v>
      </c>
      <c r="AC23" t="n">
        <v>2010007.09312413</v>
      </c>
      <c r="AD23" t="n">
        <v>481387.341810949</v>
      </c>
      <c r="AE23" t="n">
        <v>9569854.47119835</v>
      </c>
      <c r="AF23" t="n">
        <v>1316750.7208174</v>
      </c>
      <c r="AG23" t="n">
        <v>1342.08620911213</v>
      </c>
      <c r="AH23" t="n">
        <v>1358419.68807069</v>
      </c>
      <c r="AI23" t="n">
        <v>2598.59691683669</v>
      </c>
      <c r="AJ23" t="n">
        <v>786757.671882334</v>
      </c>
      <c r="AK23" t="n">
        <v>179633.656094879</v>
      </c>
      <c r="AL23" t="n">
        <v>7267.89734022496</v>
      </c>
      <c r="AM23" t="n">
        <v>368948.926115476</v>
      </c>
      <c r="AN23" t="n">
        <v>518012.410488758</v>
      </c>
      <c r="AO23" t="n">
        <v>2870.87103682361</v>
      </c>
      <c r="AP23" t="n">
        <v>0</v>
      </c>
      <c r="AQ23" t="n">
        <v>7718492.93114356</v>
      </c>
      <c r="AR23" t="n">
        <v>269412.605862159</v>
      </c>
      <c r="AS23" t="n">
        <v>573022.311303472</v>
      </c>
      <c r="AT23" t="n">
        <v>100290.693801358</v>
      </c>
      <c r="AU23" t="n">
        <v>149010.205800272</v>
      </c>
      <c r="AV23" t="n">
        <v>0</v>
      </c>
      <c r="AW23" t="n">
        <v>14166.4876463018</v>
      </c>
      <c r="AX23" t="n">
        <v>3979054.42820744</v>
      </c>
      <c r="AY23" t="n">
        <v>555123.712054942</v>
      </c>
      <c r="AZ23" t="n">
        <v>0</v>
      </c>
      <c r="BA23" t="n">
        <v>6996277.92410785</v>
      </c>
      <c r="BB23" t="n">
        <v>11785301.2113063</v>
      </c>
      <c r="BC23" t="n">
        <v>534484.478277345</v>
      </c>
      <c r="BD23" t="n">
        <v>8300218.44450929</v>
      </c>
      <c r="BE23" t="n">
        <v>6690343.9656865</v>
      </c>
      <c r="BF23" t="n">
        <v>952955.60990109</v>
      </c>
      <c r="BG23" t="n">
        <v>59573.629219977</v>
      </c>
      <c r="BH23" t="n">
        <v>4960851.80652924</v>
      </c>
      <c r="BI23" t="n">
        <v>6607515.13929287</v>
      </c>
      <c r="BJ23" t="n">
        <v>2103822.81422012</v>
      </c>
      <c r="BK23" t="n">
        <v>88967.3640148658</v>
      </c>
      <c r="BL23" t="n">
        <v>1068352.65424694</v>
      </c>
      <c r="BM23" t="n">
        <v>2751118.73434123</v>
      </c>
      <c r="BN23" t="n">
        <v>2326735.41670057</v>
      </c>
      <c r="BO23" t="n">
        <v>16886554.8311055</v>
      </c>
      <c r="BP23" t="n">
        <v>3706222.2362573</v>
      </c>
      <c r="BQ23" t="n">
        <v>12207595.3158007</v>
      </c>
      <c r="BR23" t="n">
        <v>287846.124443782</v>
      </c>
      <c r="BS23" t="n">
        <v>6891972.36236323</v>
      </c>
      <c r="BT23" t="n">
        <v>10720652.4869134</v>
      </c>
      <c r="BU23" t="n">
        <v>260860530.01143</v>
      </c>
      <c r="BV23" t="n">
        <v>0</v>
      </c>
      <c r="BW23" t="n">
        <v>217141049.149527</v>
      </c>
      <c r="BX23" t="n">
        <v>0</v>
      </c>
      <c r="BY23" t="n">
        <v>38424623.4080376</v>
      </c>
      <c r="BZ23" t="n">
        <v>14973317.8454904</v>
      </c>
      <c r="CA23" t="n">
        <v>149302634.663304</v>
      </c>
      <c r="CB23" t="n">
        <v>-833835823.607105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859580.984765276</v>
      </c>
      <c r="CJ23" t="n">
        <v>0</v>
      </c>
      <c r="CK23" t="n">
        <v>0</v>
      </c>
      <c r="CL23" t="n">
        <v>0</v>
      </c>
      <c r="CM23" t="n">
        <v>5328257.68086354</v>
      </c>
      <c r="CN23" t="n">
        <v>0</v>
      </c>
    </row>
    <row r="24">
      <c r="A24" t="s">
        <v>135</v>
      </c>
      <c r="B24" t="n">
        <v>7199430.0612676</v>
      </c>
      <c r="C24" t="n">
        <v>399581.966457254</v>
      </c>
      <c r="D24" t="n">
        <v>562706.826430779</v>
      </c>
      <c r="E24" t="n">
        <v>2580129.55921153</v>
      </c>
      <c r="F24" t="n">
        <v>1690851.38232481</v>
      </c>
      <c r="G24" t="n">
        <v>228384.850676434</v>
      </c>
      <c r="H24" t="n">
        <v>6590354.09515826</v>
      </c>
      <c r="I24" t="n">
        <v>27895785.1216214</v>
      </c>
      <c r="J24" t="n">
        <v>1908759.57572238</v>
      </c>
      <c r="K24" t="n">
        <v>12663882.8287723</v>
      </c>
      <c r="L24" t="n">
        <v>10034055.7903049</v>
      </c>
      <c r="M24" t="n">
        <v>63649324.0738442</v>
      </c>
      <c r="N24" t="n">
        <v>598931.161844117</v>
      </c>
      <c r="O24" t="n">
        <v>4248655.03383982</v>
      </c>
      <c r="P24" t="n">
        <v>296420256.397554</v>
      </c>
      <c r="Q24" t="n">
        <v>9616744.3690691</v>
      </c>
      <c r="R24" t="n">
        <v>2226231.87003033</v>
      </c>
      <c r="S24" t="n">
        <v>1271962.15889073</v>
      </c>
      <c r="T24" t="n">
        <v>53736192.2509487</v>
      </c>
      <c r="U24" t="n">
        <v>120920.964017495</v>
      </c>
      <c r="V24" t="n">
        <v>1820.01981237738</v>
      </c>
      <c r="W24" t="n">
        <v>20381216.3087433</v>
      </c>
      <c r="X24" t="n">
        <v>688135.172555963</v>
      </c>
      <c r="Y24" t="n">
        <v>442435.85703598</v>
      </c>
      <c r="Z24" t="n">
        <v>3072979.0753949</v>
      </c>
      <c r="AA24" t="n">
        <v>6559677.98834059</v>
      </c>
      <c r="AB24" t="n">
        <v>38819038.6768412</v>
      </c>
      <c r="AC24" t="n">
        <v>24147415.477905</v>
      </c>
      <c r="AD24" t="n">
        <v>7656401.60114038</v>
      </c>
      <c r="AE24" t="n">
        <v>3271804.26754843</v>
      </c>
      <c r="AF24" t="n">
        <v>15666121.0035774</v>
      </c>
      <c r="AG24" t="n">
        <v>0</v>
      </c>
      <c r="AH24" t="n">
        <v>733030.516902714</v>
      </c>
      <c r="AI24" t="n">
        <v>0</v>
      </c>
      <c r="AJ24" t="n">
        <v>64939291.6332459</v>
      </c>
      <c r="AK24" t="n">
        <v>429284.887187239</v>
      </c>
      <c r="AL24" t="n">
        <v>2798.25949631392</v>
      </c>
      <c r="AM24" t="n">
        <v>416527.42850651</v>
      </c>
      <c r="AN24" t="n">
        <v>7439952.15585804</v>
      </c>
      <c r="AO24" t="n">
        <v>149645.557437437</v>
      </c>
      <c r="AP24" t="n">
        <v>79864.1984995302</v>
      </c>
      <c r="AQ24" t="n">
        <v>2150299.85669726</v>
      </c>
      <c r="AR24" t="n">
        <v>393579.95008609</v>
      </c>
      <c r="AS24" t="n">
        <v>517259.670773284</v>
      </c>
      <c r="AT24" t="n">
        <v>25793.2197524884</v>
      </c>
      <c r="AU24" t="n">
        <v>0</v>
      </c>
      <c r="AV24" t="n">
        <v>0</v>
      </c>
      <c r="AW24" t="n">
        <v>0</v>
      </c>
      <c r="AX24" t="n">
        <v>0</v>
      </c>
      <c r="AY24" t="n">
        <v>5078110.31951338</v>
      </c>
      <c r="AZ24" t="n">
        <v>0</v>
      </c>
      <c r="BA24" t="n">
        <v>169387.469618316</v>
      </c>
      <c r="BB24" t="n">
        <v>5796358.16374462</v>
      </c>
      <c r="BC24" t="n">
        <v>5377377.70435478</v>
      </c>
      <c r="BD24" t="n">
        <v>40027538.4230716</v>
      </c>
      <c r="BE24" t="n">
        <v>6255637.394084</v>
      </c>
      <c r="BF24" t="n">
        <v>1081694.95540847</v>
      </c>
      <c r="BG24" t="n">
        <v>3129344.72030498</v>
      </c>
      <c r="BH24" t="n">
        <v>8892938.85867646</v>
      </c>
      <c r="BI24" t="n">
        <v>696599.018694069</v>
      </c>
      <c r="BJ24" t="n">
        <v>11445222.0925748</v>
      </c>
      <c r="BK24" t="n">
        <v>74421.8465440134</v>
      </c>
      <c r="BL24" t="n">
        <v>240875.087259203</v>
      </c>
      <c r="BM24" t="n">
        <v>430468.728245709</v>
      </c>
      <c r="BN24" t="n">
        <v>5050129.38604411</v>
      </c>
      <c r="BO24" t="n">
        <v>45453287.5995815</v>
      </c>
      <c r="BP24" t="n">
        <v>15012631.8132029</v>
      </c>
      <c r="BQ24" t="n">
        <v>404119.586357318</v>
      </c>
      <c r="BR24" t="n">
        <v>10196011.3171384</v>
      </c>
      <c r="BS24" t="n">
        <v>32156926.4038224</v>
      </c>
      <c r="BT24" t="n">
        <v>3554331.95195471</v>
      </c>
      <c r="BU24" t="n">
        <v>973300639.486813</v>
      </c>
      <c r="BV24" t="n">
        <v>0</v>
      </c>
      <c r="BW24" t="n">
        <v>605347634.87673</v>
      </c>
      <c r="BX24" t="n">
        <v>0</v>
      </c>
      <c r="BY24" t="n">
        <v>0</v>
      </c>
      <c r="BZ24" t="n">
        <v>23393836.4070066</v>
      </c>
      <c r="CA24" t="n">
        <v>150051385.114273</v>
      </c>
      <c r="CB24" t="n">
        <v>-1844110792.2437</v>
      </c>
      <c r="CC24" t="n">
        <v>0</v>
      </c>
      <c r="CD24" t="n">
        <v>0</v>
      </c>
      <c r="CE24" t="n">
        <v>57145591.7944446</v>
      </c>
      <c r="CF24" t="n">
        <v>0</v>
      </c>
      <c r="CG24" t="n">
        <v>0</v>
      </c>
      <c r="CH24" t="n">
        <v>0</v>
      </c>
      <c r="CI24" t="n">
        <v>1166411.89608309</v>
      </c>
      <c r="CJ24" t="n">
        <v>0</v>
      </c>
      <c r="CK24" t="n">
        <v>0</v>
      </c>
      <c r="CL24" t="n">
        <v>0</v>
      </c>
      <c r="CM24" t="n">
        <v>123779640.625293</v>
      </c>
      <c r="CN24" t="n">
        <v>0</v>
      </c>
    </row>
    <row r="25">
      <c r="A25" t="s">
        <v>136</v>
      </c>
      <c r="B25" t="n">
        <v>0</v>
      </c>
      <c r="C25" t="n">
        <v>30361.3904265437</v>
      </c>
      <c r="D25" t="n">
        <v>0</v>
      </c>
      <c r="E25" t="n">
        <v>16373.398674202</v>
      </c>
      <c r="F25" t="n">
        <v>0</v>
      </c>
      <c r="G25" t="n">
        <v>0</v>
      </c>
      <c r="H25" t="n">
        <v>48006.8103725823</v>
      </c>
      <c r="I25" t="n">
        <v>66919.6585665589</v>
      </c>
      <c r="J25" t="n">
        <v>0</v>
      </c>
      <c r="K25" t="n">
        <v>0</v>
      </c>
      <c r="L25" t="n">
        <v>219894.239001512</v>
      </c>
      <c r="M25" t="n">
        <v>425596.066663442</v>
      </c>
      <c r="N25" t="n">
        <v>0</v>
      </c>
      <c r="O25" t="n">
        <v>0</v>
      </c>
      <c r="P25" t="n">
        <v>492443.26288254</v>
      </c>
      <c r="Q25" t="n">
        <v>294649645.808714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141098.648739544</v>
      </c>
      <c r="AD25" t="n">
        <v>0</v>
      </c>
      <c r="AE25" t="n">
        <v>0</v>
      </c>
      <c r="AF25" t="n">
        <v>0</v>
      </c>
      <c r="AG25" t="n">
        <v>348797.763051596</v>
      </c>
      <c r="AH25" t="n">
        <v>5819417.55677632</v>
      </c>
      <c r="AI25" t="n">
        <v>107021.979464764</v>
      </c>
      <c r="AJ25" t="n">
        <v>35020.8536337567</v>
      </c>
      <c r="AK25" t="n">
        <v>39654.982892506</v>
      </c>
      <c r="AL25" t="n">
        <v>0</v>
      </c>
      <c r="AM25" t="n">
        <v>10420579.8400212</v>
      </c>
      <c r="AN25" t="n">
        <v>0</v>
      </c>
      <c r="AO25" t="n">
        <v>0</v>
      </c>
      <c r="AP25" t="n">
        <v>0</v>
      </c>
      <c r="AQ25" t="n">
        <v>2061.69587487644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1068086.83705453</v>
      </c>
      <c r="BC25" t="n">
        <v>168337.925667068</v>
      </c>
      <c r="BD25" t="n">
        <v>93153.5051695216</v>
      </c>
      <c r="BE25" t="n">
        <v>166692.807216356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18522.7065384635</v>
      </c>
      <c r="BM25" t="n">
        <v>0</v>
      </c>
      <c r="BN25" t="n">
        <v>0</v>
      </c>
      <c r="BO25" t="n">
        <v>460952.445512579</v>
      </c>
      <c r="BP25" t="n">
        <v>41854711.4417581</v>
      </c>
      <c r="BQ25" t="n">
        <v>5076633.76392346</v>
      </c>
      <c r="BR25" t="n">
        <v>1254.90772563084</v>
      </c>
      <c r="BS25" t="n">
        <v>0</v>
      </c>
      <c r="BT25" t="n">
        <v>126750.023969996</v>
      </c>
      <c r="BU25" t="n">
        <v>92315392.901538</v>
      </c>
      <c r="BV25" t="n">
        <v>0</v>
      </c>
      <c r="BW25" t="n">
        <v>126864461.34565</v>
      </c>
      <c r="BX25" t="n">
        <v>0</v>
      </c>
      <c r="BY25" t="n">
        <v>0</v>
      </c>
      <c r="BZ25" t="n">
        <v>115816788.344483</v>
      </c>
      <c r="CA25" t="n">
        <v>1677881582.51961</v>
      </c>
      <c r="CB25" t="n">
        <v>-362591877.195826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21889.122772835</v>
      </c>
      <c r="CJ25" t="n">
        <v>0</v>
      </c>
      <c r="CK25" t="n">
        <v>0</v>
      </c>
      <c r="CL25" t="n">
        <v>0</v>
      </c>
      <c r="CM25" t="n">
        <v>503127.971152098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57521265.205445</v>
      </c>
      <c r="I26" t="n">
        <v>7197684.68852684</v>
      </c>
      <c r="J26" t="n">
        <v>0</v>
      </c>
      <c r="K26" t="n">
        <v>0</v>
      </c>
      <c r="L26" t="n">
        <v>0</v>
      </c>
      <c r="M26" t="n">
        <v>1402794.48338769</v>
      </c>
      <c r="N26" t="n">
        <v>28044.0580368495</v>
      </c>
      <c r="O26" t="n">
        <v>0</v>
      </c>
      <c r="P26" t="n">
        <v>42052.6127872774</v>
      </c>
      <c r="Q26" t="n">
        <v>826368.872773563</v>
      </c>
      <c r="R26" t="n">
        <v>22761090.7603637</v>
      </c>
      <c r="S26" t="n">
        <v>127705.563582129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2959174.4504097</v>
      </c>
      <c r="AB26" t="n">
        <v>5373204.01958115</v>
      </c>
      <c r="AC26" t="n">
        <v>728661.104004329</v>
      </c>
      <c r="AD26" t="n">
        <v>0</v>
      </c>
      <c r="AE26" t="n">
        <v>105122.260435918</v>
      </c>
      <c r="AF26" t="n">
        <v>7211375.11030012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819.989330629375</v>
      </c>
      <c r="AP26" t="n">
        <v>0</v>
      </c>
      <c r="AQ26" t="n">
        <v>161175.182789645</v>
      </c>
      <c r="AR26" t="n">
        <v>376544.787212437</v>
      </c>
      <c r="AS26" t="n">
        <v>0</v>
      </c>
      <c r="AT26" t="n">
        <v>0</v>
      </c>
      <c r="AU26" t="n">
        <v>0</v>
      </c>
      <c r="AV26" t="n">
        <v>0</v>
      </c>
      <c r="AW26" t="n">
        <v>12078673.2613724</v>
      </c>
      <c r="AX26" t="n">
        <v>148424.346807421</v>
      </c>
      <c r="AY26" t="n">
        <v>0</v>
      </c>
      <c r="AZ26" t="n">
        <v>17530.5399423992</v>
      </c>
      <c r="BA26" t="n">
        <v>5957.57540707207</v>
      </c>
      <c r="BB26" t="n">
        <v>1341816.55285841</v>
      </c>
      <c r="BC26" t="n">
        <v>63780.4944936243</v>
      </c>
      <c r="BD26" t="n">
        <v>9998.67803471505</v>
      </c>
      <c r="BE26" t="n">
        <v>0</v>
      </c>
      <c r="BF26" t="n">
        <v>0</v>
      </c>
      <c r="BG26" t="n">
        <v>1352675.11616958</v>
      </c>
      <c r="BH26" t="n">
        <v>543006.126090316</v>
      </c>
      <c r="BI26" t="n">
        <v>4835.61690030856</v>
      </c>
      <c r="BJ26" t="n">
        <v>885492.592370599</v>
      </c>
      <c r="BK26" t="n">
        <v>649569.475605403</v>
      </c>
      <c r="BL26" t="n">
        <v>1074798.43519027</v>
      </c>
      <c r="BM26" t="n">
        <v>5017.71946277671</v>
      </c>
      <c r="BN26" t="n">
        <v>1067702.5891333</v>
      </c>
      <c r="BO26" t="n">
        <v>2064818.03408173</v>
      </c>
      <c r="BP26" t="n">
        <v>0</v>
      </c>
      <c r="BQ26" t="n">
        <v>0</v>
      </c>
      <c r="BR26" t="n">
        <v>375915.825145197</v>
      </c>
      <c r="BS26" t="n">
        <v>49474.4547042668</v>
      </c>
      <c r="BT26" t="n">
        <v>3754709.1162224</v>
      </c>
      <c r="BU26" t="n">
        <v>327344055.893956</v>
      </c>
      <c r="BV26" t="n">
        <v>0</v>
      </c>
      <c r="BW26" t="n">
        <v>200369420.953744</v>
      </c>
      <c r="BX26" t="n">
        <v>0</v>
      </c>
      <c r="BY26" t="n">
        <v>3823632.09576433</v>
      </c>
      <c r="BZ26" t="n">
        <v>4644811.36051098</v>
      </c>
      <c r="CA26" t="n">
        <v>14665519.9080265</v>
      </c>
      <c r="CB26" t="n">
        <v>-365975584.668338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76795.163466143</v>
      </c>
      <c r="CJ26" t="n">
        <v>0</v>
      </c>
      <c r="CK26" t="n">
        <v>0</v>
      </c>
      <c r="CL26" t="n">
        <v>0</v>
      </c>
      <c r="CM26" t="n">
        <v>7656580.70352536</v>
      </c>
      <c r="CN26" t="n">
        <v>0</v>
      </c>
    </row>
    <row r="27">
      <c r="A27" t="s">
        <v>138</v>
      </c>
      <c r="B27" t="n">
        <v>446007.398223216</v>
      </c>
      <c r="C27" t="n">
        <v>0</v>
      </c>
      <c r="D27" t="n">
        <v>24324.7748639009</v>
      </c>
      <c r="E27" t="n">
        <v>109511.787691525</v>
      </c>
      <c r="F27" t="n">
        <v>74095.501453887</v>
      </c>
      <c r="G27" t="n">
        <v>0</v>
      </c>
      <c r="H27" t="n">
        <v>3440954.18298027</v>
      </c>
      <c r="I27" t="n">
        <v>289450.911407556</v>
      </c>
      <c r="J27" t="n">
        <v>202627.59305204</v>
      </c>
      <c r="K27" t="n">
        <v>311577.923670204</v>
      </c>
      <c r="L27" t="n">
        <v>377780.746622012</v>
      </c>
      <c r="M27" t="n">
        <v>11946583.6018709</v>
      </c>
      <c r="N27" t="n">
        <v>333.245653738468</v>
      </c>
      <c r="O27" t="n">
        <v>2913262.07213605</v>
      </c>
      <c r="P27" t="n">
        <v>4469985.04125586</v>
      </c>
      <c r="Q27" t="n">
        <v>72952.4804935965</v>
      </c>
      <c r="R27" t="n">
        <v>23924.2060992399</v>
      </c>
      <c r="S27" t="n">
        <v>7783472.85757784</v>
      </c>
      <c r="T27" t="n">
        <v>417364.272557638</v>
      </c>
      <c r="U27" t="n">
        <v>14999.0114591958</v>
      </c>
      <c r="V27" t="n">
        <v>339478.463403831</v>
      </c>
      <c r="W27" t="n">
        <v>0</v>
      </c>
      <c r="X27" t="n">
        <v>15501.119293488</v>
      </c>
      <c r="Y27" t="n">
        <v>2325.9310537321</v>
      </c>
      <c r="Z27" t="n">
        <v>751232.046119751</v>
      </c>
      <c r="AA27" t="n">
        <v>975807.938867001</v>
      </c>
      <c r="AB27" t="n">
        <v>3603068.15663023</v>
      </c>
      <c r="AC27" t="n">
        <v>3212476.29852612</v>
      </c>
      <c r="AD27" t="n">
        <v>474637.158222697</v>
      </c>
      <c r="AE27" t="n">
        <v>37891.2092339556</v>
      </c>
      <c r="AF27" t="n">
        <v>4807367.10375405</v>
      </c>
      <c r="AG27" t="n">
        <v>0</v>
      </c>
      <c r="AH27" t="n">
        <v>6301.76520553991</v>
      </c>
      <c r="AI27" t="n">
        <v>0</v>
      </c>
      <c r="AJ27" t="n">
        <v>79559.6808491658</v>
      </c>
      <c r="AK27" t="n">
        <v>17228.7409252085</v>
      </c>
      <c r="AL27" t="n">
        <v>814.480459972433</v>
      </c>
      <c r="AM27" t="n">
        <v>382200.739851746</v>
      </c>
      <c r="AN27" t="n">
        <v>535378.12864235</v>
      </c>
      <c r="AO27" t="n">
        <v>2349.99182424443</v>
      </c>
      <c r="AP27" t="n">
        <v>1390.83341038761</v>
      </c>
      <c r="AQ27" t="n">
        <v>202115.674478885</v>
      </c>
      <c r="AR27" t="n">
        <v>93512.725585298</v>
      </c>
      <c r="AS27" t="n">
        <v>203978.335306331</v>
      </c>
      <c r="AT27" t="n">
        <v>22395.3939182633</v>
      </c>
      <c r="AU27" t="n">
        <v>51644.1382463798</v>
      </c>
      <c r="AV27" t="n">
        <v>0</v>
      </c>
      <c r="AW27" t="n">
        <v>0</v>
      </c>
      <c r="AX27" t="n">
        <v>584339.636468881</v>
      </c>
      <c r="AY27" t="n">
        <v>147322.590288431</v>
      </c>
      <c r="AZ27" t="n">
        <v>19405.0681833851</v>
      </c>
      <c r="BA27" t="n">
        <v>45974.0719200635</v>
      </c>
      <c r="BB27" t="n">
        <v>3603230.35312747</v>
      </c>
      <c r="BC27" t="n">
        <v>105808.582862925</v>
      </c>
      <c r="BD27" t="n">
        <v>7191328.202258</v>
      </c>
      <c r="BE27" t="n">
        <v>944575.658560553</v>
      </c>
      <c r="BF27" t="n">
        <v>674147.304403429</v>
      </c>
      <c r="BG27" t="n">
        <v>73601457.5365374</v>
      </c>
      <c r="BH27" t="n">
        <v>106868880.938855</v>
      </c>
      <c r="BI27" t="n">
        <v>2931429.10437255</v>
      </c>
      <c r="BJ27" t="n">
        <v>8391476.20038928</v>
      </c>
      <c r="BK27" t="n">
        <v>98538.7227894466</v>
      </c>
      <c r="BL27" t="n">
        <v>651512.907032603</v>
      </c>
      <c r="BM27" t="n">
        <v>117019.634522664</v>
      </c>
      <c r="BN27" t="n">
        <v>4173921.34755892</v>
      </c>
      <c r="BO27" t="n">
        <v>5485966.78447716</v>
      </c>
      <c r="BP27" t="n">
        <v>2112213.2588648</v>
      </c>
      <c r="BQ27" t="n">
        <v>1530822.78527405</v>
      </c>
      <c r="BR27" t="n">
        <v>0</v>
      </c>
      <c r="BS27" t="n">
        <v>29120473.1577202</v>
      </c>
      <c r="BT27" t="n">
        <v>105925.240345693</v>
      </c>
      <c r="BU27" t="n">
        <v>436903215.471509</v>
      </c>
      <c r="BV27" t="n">
        <v>0</v>
      </c>
      <c r="BW27" t="n">
        <v>82244937.6999258</v>
      </c>
      <c r="BX27" t="n">
        <v>0</v>
      </c>
      <c r="BY27" t="n">
        <v>0</v>
      </c>
      <c r="BZ27" t="n">
        <v>5637164.91505699</v>
      </c>
      <c r="CA27" t="n">
        <v>11866487.9459497</v>
      </c>
      <c r="CB27" t="n">
        <v>-584828208.21335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71359.494607551</v>
      </c>
      <c r="CJ27" t="n">
        <v>0</v>
      </c>
      <c r="CK27" t="n">
        <v>0</v>
      </c>
      <c r="CL27" t="n">
        <v>0</v>
      </c>
      <c r="CM27" t="n">
        <v>3153420.6312895</v>
      </c>
      <c r="CN27" t="n">
        <v>0</v>
      </c>
    </row>
    <row r="28">
      <c r="A28" t="s">
        <v>139</v>
      </c>
      <c r="B28" t="n">
        <v>144225776.44215</v>
      </c>
      <c r="C28" t="n">
        <v>865318.855563751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276680.014125889</v>
      </c>
      <c r="J28" t="n">
        <v>1589987.44627493</v>
      </c>
      <c r="K28" t="n">
        <v>76592.0357085123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8555.0028847315</v>
      </c>
      <c r="T28" t="n">
        <v>1588705269.31003</v>
      </c>
      <c r="U28" t="n">
        <v>17359.9190304734</v>
      </c>
      <c r="V28" t="n">
        <v>529816.186328055</v>
      </c>
      <c r="W28" t="n">
        <v>5101239.59326019</v>
      </c>
      <c r="X28" t="n">
        <v>1166862.38628904</v>
      </c>
      <c r="Y28" t="n">
        <v>939260.099973144</v>
      </c>
      <c r="Z28" t="n">
        <v>9726947.97803581</v>
      </c>
      <c r="AA28" t="n">
        <v>1875862.23030425</v>
      </c>
      <c r="AB28" t="n">
        <v>9911602.08407645</v>
      </c>
      <c r="AC28" t="n">
        <v>4621.05637183049</v>
      </c>
      <c r="AD28" t="n">
        <v>9147482.40629277</v>
      </c>
      <c r="AE28" t="n">
        <v>6586470.73594973</v>
      </c>
      <c r="AF28" t="n">
        <v>5657634.24101317</v>
      </c>
      <c r="AG28" t="n">
        <v>331451.126202329</v>
      </c>
      <c r="AH28" t="n">
        <v>17125.6012145379</v>
      </c>
      <c r="AI28" t="n">
        <v>93717.5550470322</v>
      </c>
      <c r="AJ28" t="n">
        <v>339489.444524314</v>
      </c>
      <c r="AK28" t="n">
        <v>0</v>
      </c>
      <c r="AL28" t="n">
        <v>0</v>
      </c>
      <c r="AM28" t="n">
        <v>24961.1841217239</v>
      </c>
      <c r="AN28" t="n">
        <v>0</v>
      </c>
      <c r="AO28" t="n">
        <v>23854.7186867071</v>
      </c>
      <c r="AP28" t="n">
        <v>8770.24152955532</v>
      </c>
      <c r="AQ28" t="n">
        <v>0</v>
      </c>
      <c r="AR28" t="n">
        <v>182187.764440435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8144951.28778782</v>
      </c>
      <c r="BC28" t="n">
        <v>533236.82836155</v>
      </c>
      <c r="BD28" t="n">
        <v>0</v>
      </c>
      <c r="BE28" t="n">
        <v>0</v>
      </c>
      <c r="BF28" t="n">
        <v>10073074.2758946</v>
      </c>
      <c r="BG28" t="n">
        <v>26917.5693225599</v>
      </c>
      <c r="BH28" t="n">
        <v>24064446.7301074</v>
      </c>
      <c r="BI28" t="n">
        <v>20979175.6956745</v>
      </c>
      <c r="BJ28" t="n">
        <v>77505595.9214698</v>
      </c>
      <c r="BK28" t="n">
        <v>1218118.23507332</v>
      </c>
      <c r="BL28" t="n">
        <v>11117265.7635661</v>
      </c>
      <c r="BM28" t="n">
        <v>16223024.7210265</v>
      </c>
      <c r="BN28" t="n">
        <v>277244215.794455</v>
      </c>
      <c r="BO28" t="n">
        <v>5511365.88738156</v>
      </c>
      <c r="BP28" t="n">
        <v>5487975.09448643</v>
      </c>
      <c r="BQ28" t="n">
        <v>138805.915921509</v>
      </c>
      <c r="BR28" t="n">
        <v>2336968.22641997</v>
      </c>
      <c r="BS28" t="n">
        <v>246684066.91985</v>
      </c>
      <c r="BT28" t="n">
        <v>0</v>
      </c>
      <c r="BU28" t="n">
        <v>2613127930.65664</v>
      </c>
      <c r="BV28" t="n">
        <v>0</v>
      </c>
      <c r="BW28" t="n">
        <v>0</v>
      </c>
      <c r="BX28" t="n">
        <v>0</v>
      </c>
      <c r="BY28" t="n">
        <v>0</v>
      </c>
      <c r="BZ28" t="n">
        <v>126193905.13764</v>
      </c>
      <c r="CA28" t="n">
        <v>688604164.116766</v>
      </c>
      <c r="CB28" t="n">
        <v>-914484095.616045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413496.171390269</v>
      </c>
      <c r="C29" t="n">
        <v>185613.7651601</v>
      </c>
      <c r="D29" t="n">
        <v>0</v>
      </c>
      <c r="E29" t="n">
        <v>5457.79955806734</v>
      </c>
      <c r="F29" t="n">
        <v>0</v>
      </c>
      <c r="G29" t="n">
        <v>0</v>
      </c>
      <c r="H29" t="n">
        <v>3451792.81582833</v>
      </c>
      <c r="I29" t="n">
        <v>4925282.72782846</v>
      </c>
      <c r="J29" t="n">
        <v>757400.456365954</v>
      </c>
      <c r="K29" t="n">
        <v>0</v>
      </c>
      <c r="L29" t="n">
        <v>1869.59891889659</v>
      </c>
      <c r="M29" t="n">
        <v>1542272.47572057</v>
      </c>
      <c r="N29" t="n">
        <v>289.751364519309</v>
      </c>
      <c r="O29" t="n">
        <v>0</v>
      </c>
      <c r="P29" t="n">
        <v>2748869.51102324</v>
      </c>
      <c r="Q29" t="n">
        <v>3078617.19186483</v>
      </c>
      <c r="R29" t="n">
        <v>13351081.5927348</v>
      </c>
      <c r="S29" t="n">
        <v>998801.748566022</v>
      </c>
      <c r="T29" t="n">
        <v>1886293.12583429</v>
      </c>
      <c r="U29" t="n">
        <v>9925107.22385842</v>
      </c>
      <c r="V29" t="n">
        <v>3818876.11758915</v>
      </c>
      <c r="W29" t="n">
        <v>27779852.3542821</v>
      </c>
      <c r="X29" t="n">
        <v>513160.836631478</v>
      </c>
      <c r="Y29" t="n">
        <v>56670.3723615453</v>
      </c>
      <c r="Z29" t="n">
        <v>3779.00496320944</v>
      </c>
      <c r="AA29" t="n">
        <v>24957509.4771006</v>
      </c>
      <c r="AB29" t="n">
        <v>10653414.1575908</v>
      </c>
      <c r="AC29" t="n">
        <v>157725.194811504</v>
      </c>
      <c r="AD29" t="n">
        <v>418194.639727294</v>
      </c>
      <c r="AE29" t="n">
        <v>42970255.3177757</v>
      </c>
      <c r="AF29" t="n">
        <v>3243962.34591673</v>
      </c>
      <c r="AG29" t="n">
        <v>0</v>
      </c>
      <c r="AH29" t="n">
        <v>0</v>
      </c>
      <c r="AI29" t="n">
        <v>3884.50271790639</v>
      </c>
      <c r="AJ29" t="n">
        <v>93294.785096221</v>
      </c>
      <c r="AK29" t="n">
        <v>0</v>
      </c>
      <c r="AL29" t="n">
        <v>2502.69152689498</v>
      </c>
      <c r="AM29" t="n">
        <v>91992.0926201677</v>
      </c>
      <c r="AN29" t="n">
        <v>29322.3058697891</v>
      </c>
      <c r="AO29" t="n">
        <v>220.275493131289</v>
      </c>
      <c r="AP29" t="n">
        <v>169070.907697283</v>
      </c>
      <c r="AQ29" t="n">
        <v>2278.78079714351</v>
      </c>
      <c r="AR29" t="n">
        <v>1453.333822501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117537.199128839</v>
      </c>
      <c r="AY29" t="n">
        <v>431338.462774577</v>
      </c>
      <c r="AZ29" t="n">
        <v>0</v>
      </c>
      <c r="BA29" t="n">
        <v>0</v>
      </c>
      <c r="BB29" t="n">
        <v>636570.546911841</v>
      </c>
      <c r="BC29" t="n">
        <v>68814.3368974573</v>
      </c>
      <c r="BD29" t="n">
        <v>659811.488400011</v>
      </c>
      <c r="BE29" t="n">
        <v>1119070.83014462</v>
      </c>
      <c r="BF29" t="n">
        <v>47726.0032069039</v>
      </c>
      <c r="BG29" t="n">
        <v>481486.946651299</v>
      </c>
      <c r="BH29" t="n">
        <v>2512305.0895563</v>
      </c>
      <c r="BI29" t="n">
        <v>15858747.4272743</v>
      </c>
      <c r="BJ29" t="n">
        <v>10377807.2800335</v>
      </c>
      <c r="BK29" t="n">
        <v>0</v>
      </c>
      <c r="BL29" t="n">
        <v>513985.10160317</v>
      </c>
      <c r="BM29" t="n">
        <v>6473552.23223432</v>
      </c>
      <c r="BN29" t="n">
        <v>2000399.04652754</v>
      </c>
      <c r="BO29" t="n">
        <v>3040896.99223325</v>
      </c>
      <c r="BP29" t="n">
        <v>1580252.77892945</v>
      </c>
      <c r="BQ29" t="n">
        <v>1080784.2736252</v>
      </c>
      <c r="BR29" t="n">
        <v>3328.90179841018</v>
      </c>
      <c r="BS29" t="n">
        <v>13932782.9516615</v>
      </c>
      <c r="BT29" t="n">
        <v>92821.6549402522</v>
      </c>
      <c r="BU29" t="n">
        <v>113340491.651314</v>
      </c>
      <c r="BV29" t="n">
        <v>0</v>
      </c>
      <c r="BW29" t="n">
        <v>1384124.7566646</v>
      </c>
      <c r="BX29" t="n">
        <v>0</v>
      </c>
      <c r="BY29" t="n">
        <v>1794801.67659421</v>
      </c>
      <c r="BZ29" t="n">
        <v>1299159.64695075</v>
      </c>
      <c r="CA29" t="n">
        <v>7151475.38216633</v>
      </c>
      <c r="CB29" t="n">
        <v>-288381565.135751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30186.433034435</v>
      </c>
      <c r="CJ29" t="n">
        <v>0</v>
      </c>
      <c r="CK29" t="n">
        <v>0</v>
      </c>
      <c r="CL29" t="n">
        <v>0</v>
      </c>
      <c r="CM29" t="n">
        <v>17025.4151226327</v>
      </c>
      <c r="CN29" t="n">
        <v>0</v>
      </c>
    </row>
    <row r="30">
      <c r="A30" t="s">
        <v>141</v>
      </c>
      <c r="B30" t="n">
        <v>410576.928796796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3401874.18288193</v>
      </c>
      <c r="Q30" t="n">
        <v>0</v>
      </c>
      <c r="R30" t="n">
        <v>0</v>
      </c>
      <c r="S30" t="n">
        <v>271919.036847001</v>
      </c>
      <c r="T30" t="n">
        <v>199931.286156453</v>
      </c>
      <c r="U30" t="n">
        <v>1248002.39765915</v>
      </c>
      <c r="V30" t="n">
        <v>5464195.00752412</v>
      </c>
      <c r="W30" t="n">
        <v>0</v>
      </c>
      <c r="X30" t="n">
        <v>18140188.6379015</v>
      </c>
      <c r="Y30" t="n">
        <v>0</v>
      </c>
      <c r="Z30" t="n">
        <v>0</v>
      </c>
      <c r="AA30" t="n">
        <v>2557.35758903605</v>
      </c>
      <c r="AB30" t="n">
        <v>2070080.08300828</v>
      </c>
      <c r="AC30" t="n">
        <v>731158.595437512</v>
      </c>
      <c r="AD30" t="n">
        <v>27617.4765929789</v>
      </c>
      <c r="AE30" t="n">
        <v>558754.945222647</v>
      </c>
      <c r="AF30" t="n">
        <v>1110837.34011657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76855.3692616627</v>
      </c>
      <c r="AP30" t="n">
        <v>19155.0352044449</v>
      </c>
      <c r="AQ30" t="n">
        <v>2877504.71141179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231054.155212009</v>
      </c>
      <c r="AZ30" t="n">
        <v>0</v>
      </c>
      <c r="BA30" t="n">
        <v>0</v>
      </c>
      <c r="BB30" t="n">
        <v>8017.01602394963</v>
      </c>
      <c r="BC30" t="n">
        <v>27633.718659353</v>
      </c>
      <c r="BD30" t="n">
        <v>791286.28764007</v>
      </c>
      <c r="BE30" t="n">
        <v>99399.0523519109</v>
      </c>
      <c r="BF30" t="n">
        <v>175300.663521585</v>
      </c>
      <c r="BG30" t="n">
        <v>471763.202433646</v>
      </c>
      <c r="BH30" t="n">
        <v>706738.433624423</v>
      </c>
      <c r="BI30" t="n">
        <v>0</v>
      </c>
      <c r="BJ30" t="n">
        <v>4341345.07549405</v>
      </c>
      <c r="BK30" t="n">
        <v>130770.796791296</v>
      </c>
      <c r="BL30" t="n">
        <v>189293.509130636</v>
      </c>
      <c r="BM30" t="n">
        <v>106324.414449151</v>
      </c>
      <c r="BN30" t="n">
        <v>3291535.1083511</v>
      </c>
      <c r="BO30" t="n">
        <v>9255521.6154622</v>
      </c>
      <c r="BP30" t="n">
        <v>1168480.72393896</v>
      </c>
      <c r="BQ30" t="n">
        <v>372105.364352653</v>
      </c>
      <c r="BR30" t="n">
        <v>184979.902488551</v>
      </c>
      <c r="BS30" t="n">
        <v>17565363.5513651</v>
      </c>
      <c r="BT30" t="n">
        <v>24781.9903198711</v>
      </c>
      <c r="BU30" t="n">
        <v>1111336734.25546</v>
      </c>
      <c r="BV30" t="n">
        <v>0</v>
      </c>
      <c r="BW30" t="n">
        <v>0</v>
      </c>
      <c r="BX30" t="n">
        <v>0</v>
      </c>
      <c r="BY30" t="n">
        <v>0</v>
      </c>
      <c r="BZ30" t="n">
        <v>-2025401.27185024</v>
      </c>
      <c r="CA30" t="n">
        <v>13770932.0559266</v>
      </c>
      <c r="CB30" t="n">
        <v>-1167111810.18734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3470008.59198144</v>
      </c>
      <c r="C31" t="n">
        <v>0</v>
      </c>
      <c r="D31" t="n">
        <v>65941.7136231367</v>
      </c>
      <c r="E31" t="n">
        <v>625379.577945834</v>
      </c>
      <c r="F31" t="n">
        <v>259144.359496154</v>
      </c>
      <c r="G31" t="n">
        <v>172867.409406016</v>
      </c>
      <c r="H31" t="n">
        <v>11358428.5354645</v>
      </c>
      <c r="I31" t="n">
        <v>17937285.0892962</v>
      </c>
      <c r="J31" t="n">
        <v>6903165.38024143</v>
      </c>
      <c r="K31" t="n">
        <v>27828270.5295116</v>
      </c>
      <c r="L31" t="n">
        <v>16153903.8466876</v>
      </c>
      <c r="M31" t="n">
        <v>12550393.3342569</v>
      </c>
      <c r="N31" t="n">
        <v>396762.295339739</v>
      </c>
      <c r="O31" t="n">
        <v>7976414.40045931</v>
      </c>
      <c r="P31" t="n">
        <v>10603449.992183</v>
      </c>
      <c r="Q31" t="n">
        <v>2187616.3237689</v>
      </c>
      <c r="R31" t="n">
        <v>7288722.94523877</v>
      </c>
      <c r="S31" t="n">
        <v>3480498.4606148</v>
      </c>
      <c r="T31" t="n">
        <v>301127157.558354</v>
      </c>
      <c r="U31" t="n">
        <v>829465.578542875</v>
      </c>
      <c r="V31" t="n">
        <v>60441.1923007593</v>
      </c>
      <c r="W31" t="n">
        <v>820770047.981064</v>
      </c>
      <c r="X31" t="n">
        <v>54270815.1801899</v>
      </c>
      <c r="Y31" t="n">
        <v>884569.185925348</v>
      </c>
      <c r="Z31" t="n">
        <v>14882712.5598454</v>
      </c>
      <c r="AA31" t="n">
        <v>49415486.6255263</v>
      </c>
      <c r="AB31" t="n">
        <v>40345818.5446361</v>
      </c>
      <c r="AC31" t="n">
        <v>1071666.95519498</v>
      </c>
      <c r="AD31" t="n">
        <v>6060739.90714949</v>
      </c>
      <c r="AE31" t="n">
        <v>4221479.88471022</v>
      </c>
      <c r="AF31" t="n">
        <v>5885023.48228456</v>
      </c>
      <c r="AG31" t="n">
        <v>30295.0762772835</v>
      </c>
      <c r="AH31" t="n">
        <v>1178601.9402694</v>
      </c>
      <c r="AI31" t="n">
        <v>1111.39720822398</v>
      </c>
      <c r="AJ31" t="n">
        <v>2601972.63332274</v>
      </c>
      <c r="AK31" t="n">
        <v>2004813.80933557</v>
      </c>
      <c r="AL31" t="n">
        <v>121789.768767687</v>
      </c>
      <c r="AM31" t="n">
        <v>7801673.95558195</v>
      </c>
      <c r="AN31" t="n">
        <v>1148125.92939981</v>
      </c>
      <c r="AO31" t="n">
        <v>1642658.83352485</v>
      </c>
      <c r="AP31" t="n">
        <v>52036.7592741363</v>
      </c>
      <c r="AQ31" t="n">
        <v>633874.786658125</v>
      </c>
      <c r="AR31" t="n">
        <v>326376.368175935</v>
      </c>
      <c r="AS31" t="n">
        <v>3457952.42911836</v>
      </c>
      <c r="AT31" t="n">
        <v>458392.917440038</v>
      </c>
      <c r="AU31" t="n">
        <v>3511563.80270663</v>
      </c>
      <c r="AV31" t="n">
        <v>3645.79345015938</v>
      </c>
      <c r="AW31" t="n">
        <v>0</v>
      </c>
      <c r="AX31" t="n">
        <v>2095241.75080464</v>
      </c>
      <c r="AY31" t="n">
        <v>2423293.49902055</v>
      </c>
      <c r="AZ31" t="n">
        <v>742171.620285904</v>
      </c>
      <c r="BA31" t="n">
        <v>1247389.64706508</v>
      </c>
      <c r="BB31" t="n">
        <v>5929216.28453994</v>
      </c>
      <c r="BC31" t="n">
        <v>11640240.0365697</v>
      </c>
      <c r="BD31" t="n">
        <v>20227655.2719021</v>
      </c>
      <c r="BE31" t="n">
        <v>1970590.87399598</v>
      </c>
      <c r="BF31" t="n">
        <v>669659.427469128</v>
      </c>
      <c r="BG31" t="n">
        <v>7068350.17653038</v>
      </c>
      <c r="BH31" t="n">
        <v>7783704.20016671</v>
      </c>
      <c r="BI31" t="n">
        <v>4710201.29431685</v>
      </c>
      <c r="BJ31" t="n">
        <v>7624291.8502186</v>
      </c>
      <c r="BK31" t="n">
        <v>122272.325196992</v>
      </c>
      <c r="BL31" t="n">
        <v>434784.357067981</v>
      </c>
      <c r="BM31" t="n">
        <v>9464015.3273622</v>
      </c>
      <c r="BN31" t="n">
        <v>23891737.1176977</v>
      </c>
      <c r="BO31" t="n">
        <v>4843416.44221626</v>
      </c>
      <c r="BP31" t="n">
        <v>821729.785498402</v>
      </c>
      <c r="BQ31" t="n">
        <v>7945997.95947433</v>
      </c>
      <c r="BR31" t="n">
        <v>655016.972444286</v>
      </c>
      <c r="BS31" t="n">
        <v>66108806.1663215</v>
      </c>
      <c r="BT31" t="n">
        <v>127956.039154808</v>
      </c>
      <c r="BU31" t="n">
        <v>129789384.518678</v>
      </c>
      <c r="BV31" t="n">
        <v>0</v>
      </c>
      <c r="BW31" t="n">
        <v>0</v>
      </c>
      <c r="BX31" t="n">
        <v>0</v>
      </c>
      <c r="BY31" t="n">
        <v>0</v>
      </c>
      <c r="BZ31" t="n">
        <v>19355079.2664775</v>
      </c>
      <c r="CA31" t="n">
        <v>435115162.461159</v>
      </c>
      <c r="CB31" t="n">
        <v>-364313743.704587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102931.499389722</v>
      </c>
      <c r="C32" t="n">
        <v>0</v>
      </c>
      <c r="D32" t="n">
        <v>6268.22749471364</v>
      </c>
      <c r="E32" t="n">
        <v>8769.33503473046</v>
      </c>
      <c r="F32" t="n">
        <v>0</v>
      </c>
      <c r="G32" t="n">
        <v>70244.1369726029</v>
      </c>
      <c r="H32" t="n">
        <v>175551.694717753</v>
      </c>
      <c r="I32" t="n">
        <v>78670.850578512</v>
      </c>
      <c r="J32" t="n">
        <v>0</v>
      </c>
      <c r="K32" t="n">
        <v>0</v>
      </c>
      <c r="L32" t="n">
        <v>104715.974080819</v>
      </c>
      <c r="M32" t="n">
        <v>29749.4329145397</v>
      </c>
      <c r="N32" t="n">
        <v>0</v>
      </c>
      <c r="O32" t="n">
        <v>15192.3628805612</v>
      </c>
      <c r="P32" t="n">
        <v>10012.7160224376</v>
      </c>
      <c r="Q32" t="n">
        <v>0</v>
      </c>
      <c r="R32" t="n">
        <v>0</v>
      </c>
      <c r="S32" t="n">
        <v>0</v>
      </c>
      <c r="T32" t="n">
        <v>692958.88675502</v>
      </c>
      <c r="U32" t="n">
        <v>0</v>
      </c>
      <c r="V32" t="n">
        <v>4835.79324768565</v>
      </c>
      <c r="W32" t="n">
        <v>0</v>
      </c>
      <c r="X32" t="n">
        <v>7465886.49588375</v>
      </c>
      <c r="Y32" t="n">
        <v>4929.37049046363</v>
      </c>
      <c r="Z32" t="n">
        <v>368333.047991581</v>
      </c>
      <c r="AA32" t="n">
        <v>0</v>
      </c>
      <c r="AB32" t="n">
        <v>63626741.4764662</v>
      </c>
      <c r="AC32" t="n">
        <v>1389124.4378606</v>
      </c>
      <c r="AD32" t="n">
        <v>894276.997165975</v>
      </c>
      <c r="AE32" t="n">
        <v>1927036.78280527</v>
      </c>
      <c r="AF32" t="n">
        <v>24661585.9926012</v>
      </c>
      <c r="AG32" t="n">
        <v>6238.61533088472</v>
      </c>
      <c r="AH32" t="n">
        <v>133553.982144807</v>
      </c>
      <c r="AI32" t="n">
        <v>0</v>
      </c>
      <c r="AJ32" t="n">
        <v>3283055.38783369</v>
      </c>
      <c r="AK32" t="n">
        <v>135457.403727127</v>
      </c>
      <c r="AL32" t="n">
        <v>18106.3033101731</v>
      </c>
      <c r="AM32" t="n">
        <v>1051510.12456867</v>
      </c>
      <c r="AN32" t="n">
        <v>78835.6681052561</v>
      </c>
      <c r="AO32" t="n">
        <v>3652152.52643061</v>
      </c>
      <c r="AP32" t="n">
        <v>623211.484053472</v>
      </c>
      <c r="AQ32" t="n">
        <v>1115521.48339544</v>
      </c>
      <c r="AR32" t="n">
        <v>5842332.4410418</v>
      </c>
      <c r="AS32" t="n">
        <v>4247499.15123037</v>
      </c>
      <c r="AT32" t="n">
        <v>1712379.34927092</v>
      </c>
      <c r="AU32" t="n">
        <v>14092885.7825854</v>
      </c>
      <c r="AV32" t="n">
        <v>0</v>
      </c>
      <c r="AW32" t="n">
        <v>0</v>
      </c>
      <c r="AX32" t="n">
        <v>323855.890467703</v>
      </c>
      <c r="AY32" t="n">
        <v>1332006.77150838</v>
      </c>
      <c r="AZ32" t="n">
        <v>1460022.88375066</v>
      </c>
      <c r="BA32" t="n">
        <v>814508.12431554</v>
      </c>
      <c r="BB32" t="n">
        <v>13333301.6108182</v>
      </c>
      <c r="BC32" t="n">
        <v>10506318.3447961</v>
      </c>
      <c r="BD32" t="n">
        <v>13601583.5320138</v>
      </c>
      <c r="BE32" t="n">
        <v>96201.3640182545</v>
      </c>
      <c r="BF32" t="n">
        <v>1808370.76404992</v>
      </c>
      <c r="BG32" t="n">
        <v>9798458.88679848</v>
      </c>
      <c r="BH32" t="n">
        <v>19893491.7284005</v>
      </c>
      <c r="BI32" t="n">
        <v>800991.56523958</v>
      </c>
      <c r="BJ32" t="n">
        <v>12012815.7676159</v>
      </c>
      <c r="BK32" t="n">
        <v>1217073.9785974</v>
      </c>
      <c r="BL32" t="n">
        <v>577404.903146708</v>
      </c>
      <c r="BM32" t="n">
        <v>2842681.81390439</v>
      </c>
      <c r="BN32" t="n">
        <v>5175788.61513205</v>
      </c>
      <c r="BO32" t="n">
        <v>6734550.27140128</v>
      </c>
      <c r="BP32" t="n">
        <v>1318897.59860917</v>
      </c>
      <c r="BQ32" t="n">
        <v>6005381.05752901</v>
      </c>
      <c r="BR32" t="n">
        <v>231248.791462589</v>
      </c>
      <c r="BS32" t="n">
        <v>50007187.797563</v>
      </c>
      <c r="BT32" t="n">
        <v>1521800.98502397</v>
      </c>
      <c r="BU32" t="n">
        <v>18126150.4396477</v>
      </c>
      <c r="BV32" t="n">
        <v>0</v>
      </c>
      <c r="BW32" t="n">
        <v>0</v>
      </c>
      <c r="BX32" t="n">
        <v>0</v>
      </c>
      <c r="BY32" t="n">
        <v>0</v>
      </c>
      <c r="BZ32" t="n">
        <v>1025717.17613757</v>
      </c>
      <c r="CA32" t="n">
        <v>11940877.4279276</v>
      </c>
      <c r="CB32" t="n">
        <v>-16468865.6670265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50486202.6476431</v>
      </c>
      <c r="C33" t="n">
        <v>1424646.08585315</v>
      </c>
      <c r="D33" t="n">
        <v>2741867.94893065</v>
      </c>
      <c r="E33" t="n">
        <v>9956865.86795985</v>
      </c>
      <c r="F33" t="n">
        <v>6073441.41318945</v>
      </c>
      <c r="G33" t="n">
        <v>100012595.690676</v>
      </c>
      <c r="H33" t="n">
        <v>103324801.186357</v>
      </c>
      <c r="I33" t="n">
        <v>10629875.8450631</v>
      </c>
      <c r="J33" t="n">
        <v>1803290.73519362</v>
      </c>
      <c r="K33" t="n">
        <v>20826452.0196203</v>
      </c>
      <c r="L33" t="n">
        <v>8684649.41207057</v>
      </c>
      <c r="M33" t="n">
        <v>4515322.98602888</v>
      </c>
      <c r="N33" t="n">
        <v>76646.0918388227</v>
      </c>
      <c r="O33" t="n">
        <v>2693450.53256288</v>
      </c>
      <c r="P33" t="n">
        <v>668287.674777963</v>
      </c>
      <c r="Q33" t="n">
        <v>578118.918634712</v>
      </c>
      <c r="R33" t="n">
        <v>923211.688463631</v>
      </c>
      <c r="S33" t="n">
        <v>1013230.35587195</v>
      </c>
      <c r="T33" t="n">
        <v>22688462.2136123</v>
      </c>
      <c r="U33" t="n">
        <v>117073.495698543</v>
      </c>
      <c r="V33" t="n">
        <v>10050.3851963369</v>
      </c>
      <c r="W33" t="n">
        <v>22609095.7102435</v>
      </c>
      <c r="X33" t="n">
        <v>2127623.91497809</v>
      </c>
      <c r="Y33" t="n">
        <v>35325908.1199323</v>
      </c>
      <c r="Z33" t="n">
        <v>19393852.0589548</v>
      </c>
      <c r="AA33" t="n">
        <v>5738031.96464763</v>
      </c>
      <c r="AB33" t="n">
        <v>17433999.9644766</v>
      </c>
      <c r="AC33" t="n">
        <v>3666333.6691036</v>
      </c>
      <c r="AD33" t="n">
        <v>1558013.00424991</v>
      </c>
      <c r="AE33" t="n">
        <v>1869609.51883183</v>
      </c>
      <c r="AF33" t="n">
        <v>5058241.25227572</v>
      </c>
      <c r="AG33" t="n">
        <v>16004429.1307371</v>
      </c>
      <c r="AH33" t="n">
        <v>49563486.3272876</v>
      </c>
      <c r="AI33" t="n">
        <v>1010118.32355129</v>
      </c>
      <c r="AJ33" t="n">
        <v>149869428.303616</v>
      </c>
      <c r="AK33" t="n">
        <v>1792603.10688787</v>
      </c>
      <c r="AL33" t="n">
        <v>243684.155484405</v>
      </c>
      <c r="AM33" t="n">
        <v>34794496.0121511</v>
      </c>
      <c r="AN33" t="n">
        <v>13708658.24786</v>
      </c>
      <c r="AO33" t="n">
        <v>268350.842658861</v>
      </c>
      <c r="AP33" t="n">
        <v>51008.1768006325</v>
      </c>
      <c r="AQ33" t="n">
        <v>831289.535296849</v>
      </c>
      <c r="AR33" t="n">
        <v>562813.545775314</v>
      </c>
      <c r="AS33" t="n">
        <v>10970848.1436457</v>
      </c>
      <c r="AT33" t="n">
        <v>2570813.70778101</v>
      </c>
      <c r="AU33" t="n">
        <v>168618.186808589</v>
      </c>
      <c r="AV33" t="n">
        <v>1088558.6936868</v>
      </c>
      <c r="AW33" t="n">
        <v>83684.4828766474</v>
      </c>
      <c r="AX33" t="n">
        <v>8248055.32725829</v>
      </c>
      <c r="AY33" t="n">
        <v>3367643.23565492</v>
      </c>
      <c r="AZ33" t="n">
        <v>78699.7121809829</v>
      </c>
      <c r="BA33" t="n">
        <v>1863792.39806525</v>
      </c>
      <c r="BB33" t="n">
        <v>3005395.65784067</v>
      </c>
      <c r="BC33" t="n">
        <v>6379921.71019153</v>
      </c>
      <c r="BD33" t="n">
        <v>14010752.2593107</v>
      </c>
      <c r="BE33" t="n">
        <v>5856458.23477941</v>
      </c>
      <c r="BF33" t="n">
        <v>2166257.37402886</v>
      </c>
      <c r="BG33" t="n">
        <v>3207143.12786202</v>
      </c>
      <c r="BH33" t="n">
        <v>4705847.7298726</v>
      </c>
      <c r="BI33" t="n">
        <v>3229051.86790577</v>
      </c>
      <c r="BJ33" t="n">
        <v>3632295.69558095</v>
      </c>
      <c r="BK33" t="n">
        <v>273495.907607689</v>
      </c>
      <c r="BL33" t="n">
        <v>1401150.35517872</v>
      </c>
      <c r="BM33" t="n">
        <v>1962814.13729773</v>
      </c>
      <c r="BN33" t="n">
        <v>13054936.2313412</v>
      </c>
      <c r="BO33" t="n">
        <v>8662677.22096578</v>
      </c>
      <c r="BP33" t="n">
        <v>21348153.174473</v>
      </c>
      <c r="BQ33" t="n">
        <v>3079542.17641854</v>
      </c>
      <c r="BR33" t="n">
        <v>4321873.30018019</v>
      </c>
      <c r="BS33" t="n">
        <v>325495835.174096</v>
      </c>
      <c r="BT33" t="n">
        <v>54042623.0652745</v>
      </c>
      <c r="BU33" t="n">
        <v>972319434.951614</v>
      </c>
      <c r="BV33" t="n">
        <v>0</v>
      </c>
      <c r="BW33" t="n">
        <v>0</v>
      </c>
      <c r="BX33" t="n">
        <v>0</v>
      </c>
      <c r="BY33" t="n">
        <v>0</v>
      </c>
      <c r="BZ33" t="n">
        <v>10759988.3461304</v>
      </c>
      <c r="CA33" t="n">
        <v>37260706.2875927</v>
      </c>
      <c r="CB33" t="n">
        <v>-486803382.212967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92920872.9151585</v>
      </c>
      <c r="C34" t="n">
        <v>5811075.00303987</v>
      </c>
      <c r="D34" t="n">
        <v>2930398.92945507</v>
      </c>
      <c r="E34" t="n">
        <v>4277215.038256</v>
      </c>
      <c r="F34" t="n">
        <v>3922047.6353399</v>
      </c>
      <c r="G34" t="n">
        <v>3895826.66177784</v>
      </c>
      <c r="H34" t="n">
        <v>28302486.7975615</v>
      </c>
      <c r="I34" t="n">
        <v>29615923.1052889</v>
      </c>
      <c r="J34" t="n">
        <v>9986271.44436522</v>
      </c>
      <c r="K34" t="n">
        <v>16063094.5262203</v>
      </c>
      <c r="L34" t="n">
        <v>28367883.6608001</v>
      </c>
      <c r="M34" t="n">
        <v>8614275.91142731</v>
      </c>
      <c r="N34" t="n">
        <v>818785.399934259</v>
      </c>
      <c r="O34" t="n">
        <v>8269535.70621654</v>
      </c>
      <c r="P34" t="n">
        <v>13032587.6469232</v>
      </c>
      <c r="Q34" t="n">
        <v>2853257.71818959</v>
      </c>
      <c r="R34" t="n">
        <v>5125085.1548231</v>
      </c>
      <c r="S34" t="n">
        <v>6661426.73572494</v>
      </c>
      <c r="T34" t="n">
        <v>62139662.7579415</v>
      </c>
      <c r="U34" t="n">
        <v>14864443.7950421</v>
      </c>
      <c r="V34" t="n">
        <v>189949.788084479</v>
      </c>
      <c r="W34" t="n">
        <v>89344906.6713777</v>
      </c>
      <c r="X34" t="n">
        <v>8826270.03984604</v>
      </c>
      <c r="Y34" t="n">
        <v>44226808.8427739</v>
      </c>
      <c r="Z34" t="n">
        <v>353333794.851289</v>
      </c>
      <c r="AA34" t="n">
        <v>425994356.292698</v>
      </c>
      <c r="AB34" t="n">
        <v>6590088.08238566</v>
      </c>
      <c r="AC34" t="n">
        <v>515234.541011737</v>
      </c>
      <c r="AD34" t="n">
        <v>229902.842292984</v>
      </c>
      <c r="AE34" t="n">
        <v>306770.591052113</v>
      </c>
      <c r="AF34" t="n">
        <v>1519846.40528379</v>
      </c>
      <c r="AG34" t="n">
        <v>558.752726986066</v>
      </c>
      <c r="AH34" t="n">
        <v>1457918.58191118</v>
      </c>
      <c r="AI34" t="n">
        <v>1143.97340370326</v>
      </c>
      <c r="AJ34" t="n">
        <v>1768859.51580682</v>
      </c>
      <c r="AK34" t="n">
        <v>12543.220246094</v>
      </c>
      <c r="AL34" t="n">
        <v>4003.79141020167</v>
      </c>
      <c r="AM34" t="n">
        <v>166131.35749725</v>
      </c>
      <c r="AN34" t="n">
        <v>1090030.32088756</v>
      </c>
      <c r="AO34" t="n">
        <v>166417.641718743</v>
      </c>
      <c r="AP34" t="n">
        <v>168484.92782268</v>
      </c>
      <c r="AQ34" t="n">
        <v>1222073.52785225</v>
      </c>
      <c r="AR34" t="n">
        <v>570895.902858822</v>
      </c>
      <c r="AS34" t="n">
        <v>121579.379392334</v>
      </c>
      <c r="AT34" t="n">
        <v>51146.6547433765</v>
      </c>
      <c r="AU34" t="n">
        <v>138650.293022224</v>
      </c>
      <c r="AV34" t="n">
        <v>0</v>
      </c>
      <c r="AW34" t="n">
        <v>732199.268337728</v>
      </c>
      <c r="AX34" t="n">
        <v>17990788.1107127</v>
      </c>
      <c r="AY34" t="n">
        <v>180754.791659584</v>
      </c>
      <c r="AZ34" t="n">
        <v>136412.77868033</v>
      </c>
      <c r="BA34" t="n">
        <v>373878.906473819</v>
      </c>
      <c r="BB34" t="n">
        <v>49061943.9684035</v>
      </c>
      <c r="BC34" t="n">
        <v>11861769.2024614</v>
      </c>
      <c r="BD34" t="n">
        <v>22342200.6686102</v>
      </c>
      <c r="BE34" t="n">
        <v>5873610.29260837</v>
      </c>
      <c r="BF34" t="n">
        <v>1028615.57329605</v>
      </c>
      <c r="BG34" t="n">
        <v>123241021.897202</v>
      </c>
      <c r="BH34" t="n">
        <v>32700110.245647</v>
      </c>
      <c r="BI34" t="n">
        <v>9177616.50103811</v>
      </c>
      <c r="BJ34" t="n">
        <v>1901879.30279076</v>
      </c>
      <c r="BK34" t="n">
        <v>267553.753485953</v>
      </c>
      <c r="BL34" t="n">
        <v>1100832.57270889</v>
      </c>
      <c r="BM34" t="n">
        <v>156125.095943584</v>
      </c>
      <c r="BN34" t="n">
        <v>4371245.17780798</v>
      </c>
      <c r="BO34" t="n">
        <v>16085593.9152908</v>
      </c>
      <c r="BP34" t="n">
        <v>5569682.53903448</v>
      </c>
      <c r="BQ34" t="n">
        <v>5983534.46067668</v>
      </c>
      <c r="BR34" t="n">
        <v>242449.026899562</v>
      </c>
      <c r="BS34" t="n">
        <v>109678257.598907</v>
      </c>
      <c r="BT34" t="n">
        <v>4136548.63258897</v>
      </c>
      <c r="BU34" t="n">
        <v>1316852827.84592</v>
      </c>
      <c r="BV34" t="n">
        <v>0</v>
      </c>
      <c r="BW34" t="n">
        <v>4630921.0812715</v>
      </c>
      <c r="BX34" t="n">
        <v>0</v>
      </c>
      <c r="BY34" t="n">
        <v>0</v>
      </c>
      <c r="BZ34" t="n">
        <v>29458895.7869791</v>
      </c>
      <c r="CA34" t="n">
        <v>608254497.822336</v>
      </c>
      <c r="CB34" t="n">
        <v>-1827598314.02335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9766943.9648236</v>
      </c>
      <c r="C35" t="n">
        <v>281719.678327682</v>
      </c>
      <c r="D35" t="n">
        <v>53706.3703890215</v>
      </c>
      <c r="E35" t="n">
        <v>4454796.45943596</v>
      </c>
      <c r="F35" t="n">
        <v>2939911.03493011</v>
      </c>
      <c r="G35" t="n">
        <v>131884.724843654</v>
      </c>
      <c r="H35" t="n">
        <v>87007664.9172595</v>
      </c>
      <c r="I35" t="n">
        <v>15033666.4830459</v>
      </c>
      <c r="J35" t="n">
        <v>3431599.73053005</v>
      </c>
      <c r="K35" t="n">
        <v>8502458.57926578</v>
      </c>
      <c r="L35" t="n">
        <v>14399781.958572</v>
      </c>
      <c r="M35" t="n">
        <v>50130081.7206036</v>
      </c>
      <c r="N35" t="n">
        <v>1275250.02937974</v>
      </c>
      <c r="O35" t="n">
        <v>10206496.8293797</v>
      </c>
      <c r="P35" t="n">
        <v>37341603.8938074</v>
      </c>
      <c r="Q35" t="n">
        <v>9532453.9200584</v>
      </c>
      <c r="R35" t="n">
        <v>11123347.6030506</v>
      </c>
      <c r="S35" t="n">
        <v>5852801.84038588</v>
      </c>
      <c r="T35" t="n">
        <v>163141359.263022</v>
      </c>
      <c r="U35" t="n">
        <v>582611.669909671</v>
      </c>
      <c r="V35" t="n">
        <v>206532.328754698</v>
      </c>
      <c r="W35" t="n">
        <v>34630087.2287236</v>
      </c>
      <c r="X35" t="n">
        <v>11327374.4826232</v>
      </c>
      <c r="Y35" t="n">
        <v>1092060.29577169</v>
      </c>
      <c r="Z35" t="n">
        <v>17357656.7045644</v>
      </c>
      <c r="AA35" t="n">
        <v>153627589.704854</v>
      </c>
      <c r="AB35" t="n">
        <v>77205783.9207604</v>
      </c>
      <c r="AC35" t="n">
        <v>4818087.81823511</v>
      </c>
      <c r="AD35" t="n">
        <v>5271007.12117661</v>
      </c>
      <c r="AE35" t="n">
        <v>3276951.60597042</v>
      </c>
      <c r="AF35" t="n">
        <v>11789086.6238874</v>
      </c>
      <c r="AG35" t="n">
        <v>439865.572913701</v>
      </c>
      <c r="AH35" t="n">
        <v>35664.2193174463</v>
      </c>
      <c r="AI35" t="n">
        <v>0</v>
      </c>
      <c r="AJ35" t="n">
        <v>10304169.3398803</v>
      </c>
      <c r="AK35" t="n">
        <v>67130.5285308099</v>
      </c>
      <c r="AL35" t="n">
        <v>222607.345650073</v>
      </c>
      <c r="AM35" t="n">
        <v>5279938.511938</v>
      </c>
      <c r="AN35" t="n">
        <v>1335899.36535298</v>
      </c>
      <c r="AO35" t="n">
        <v>184584.52432826</v>
      </c>
      <c r="AP35" t="n">
        <v>50464.8095382028</v>
      </c>
      <c r="AQ35" t="n">
        <v>6967579.77603119</v>
      </c>
      <c r="AR35" t="n">
        <v>617848.751451667</v>
      </c>
      <c r="AS35" t="n">
        <v>130429.602518315</v>
      </c>
      <c r="AT35" t="n">
        <v>99866.313903453</v>
      </c>
      <c r="AU35" t="n">
        <v>2638323.798088</v>
      </c>
      <c r="AV35" t="n">
        <v>0</v>
      </c>
      <c r="AW35" t="n">
        <v>29235.5573083631</v>
      </c>
      <c r="AX35" t="n">
        <v>998587.084199438</v>
      </c>
      <c r="AY35" t="n">
        <v>4522541.15988658</v>
      </c>
      <c r="AZ35" t="n">
        <v>37178.2196070444</v>
      </c>
      <c r="BA35" t="n">
        <v>3103463.44560594</v>
      </c>
      <c r="BB35" t="n">
        <v>11352745.6697979</v>
      </c>
      <c r="BC35" t="n">
        <v>802415.149707629</v>
      </c>
      <c r="BD35" t="n">
        <v>6437186.71517878</v>
      </c>
      <c r="BE35" t="n">
        <v>1672772.69813193</v>
      </c>
      <c r="BF35" t="n">
        <v>1209974.17430449</v>
      </c>
      <c r="BG35" t="n">
        <v>31392866.6544608</v>
      </c>
      <c r="BH35" t="n">
        <v>17119893.9304466</v>
      </c>
      <c r="BI35" t="n">
        <v>6363887.71412861</v>
      </c>
      <c r="BJ35" t="n">
        <v>6824144.82250487</v>
      </c>
      <c r="BK35" t="n">
        <v>56268.1033094801</v>
      </c>
      <c r="BL35" t="n">
        <v>476521.359752225</v>
      </c>
      <c r="BM35" t="n">
        <v>340327.477236695</v>
      </c>
      <c r="BN35" t="n">
        <v>23266195.1991774</v>
      </c>
      <c r="BO35" t="n">
        <v>11854710.8256819</v>
      </c>
      <c r="BP35" t="n">
        <v>5657841.08895885</v>
      </c>
      <c r="BQ35" t="n">
        <v>2748455.48535512</v>
      </c>
      <c r="BR35" t="n">
        <v>116183.461933341</v>
      </c>
      <c r="BS35" t="n">
        <v>51868134.295432</v>
      </c>
      <c r="BT35" t="n">
        <v>8072393.81993425</v>
      </c>
      <c r="BU35" t="n">
        <v>208706043.090398</v>
      </c>
      <c r="BV35" t="n">
        <v>0</v>
      </c>
      <c r="BW35" t="n">
        <v>2662428.16845652</v>
      </c>
      <c r="BX35" t="n">
        <v>0</v>
      </c>
      <c r="BY35" t="n">
        <v>124181.01471201</v>
      </c>
      <c r="BZ35" t="n">
        <v>22125139.4533778</v>
      </c>
      <c r="CA35" t="n">
        <v>205410057.802858</v>
      </c>
      <c r="CB35" t="n">
        <v>-454801368.059659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36621.9670272473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109215837.523092</v>
      </c>
      <c r="C36" t="n">
        <v>4675875.85454247</v>
      </c>
      <c r="D36" t="n">
        <v>2325601.45959551</v>
      </c>
      <c r="E36" t="n">
        <v>6111107.39183579</v>
      </c>
      <c r="F36" t="n">
        <v>4716763.77083017</v>
      </c>
      <c r="G36" t="n">
        <v>19399855.7482442</v>
      </c>
      <c r="H36" t="n">
        <v>135718702.081394</v>
      </c>
      <c r="I36" t="n">
        <v>62469686.935754</v>
      </c>
      <c r="J36" t="n">
        <v>10475110.5969511</v>
      </c>
      <c r="K36" t="n">
        <v>170374743.036757</v>
      </c>
      <c r="L36" t="n">
        <v>57935046.4577063</v>
      </c>
      <c r="M36" t="n">
        <v>67982214.701314</v>
      </c>
      <c r="N36" t="n">
        <v>2940367.05929059</v>
      </c>
      <c r="O36" t="n">
        <v>24273009.961278</v>
      </c>
      <c r="P36" t="n">
        <v>54687604.1327947</v>
      </c>
      <c r="Q36" t="n">
        <v>20395353.7587892</v>
      </c>
      <c r="R36" t="n">
        <v>11398523.59185</v>
      </c>
      <c r="S36" t="n">
        <v>5873475.74540966</v>
      </c>
      <c r="T36" t="n">
        <v>368493860.119263</v>
      </c>
      <c r="U36" t="n">
        <v>2591679.29642649</v>
      </c>
      <c r="V36" t="n">
        <v>1526239.55487917</v>
      </c>
      <c r="W36" t="n">
        <v>89339704.5680029</v>
      </c>
      <c r="X36" t="n">
        <v>9080164.3311955</v>
      </c>
      <c r="Y36" t="n">
        <v>20246316.867544</v>
      </c>
      <c r="Z36" t="n">
        <v>49064937.2594568</v>
      </c>
      <c r="AA36" t="n">
        <v>77062070.4949869</v>
      </c>
      <c r="AB36" t="n">
        <v>125516624.953893</v>
      </c>
      <c r="AC36" t="n">
        <v>10077594.0370711</v>
      </c>
      <c r="AD36" t="n">
        <v>5026902.47805183</v>
      </c>
      <c r="AE36" t="n">
        <v>10634828.5520661</v>
      </c>
      <c r="AF36" t="n">
        <v>28316813.8698002</v>
      </c>
      <c r="AG36" t="n">
        <v>1046523.38762886</v>
      </c>
      <c r="AH36" t="n">
        <v>11075403.7085909</v>
      </c>
      <c r="AI36" t="n">
        <v>187524.83101374</v>
      </c>
      <c r="AJ36" t="n">
        <v>45742750.4577451</v>
      </c>
      <c r="AK36" t="n">
        <v>610435.591589848</v>
      </c>
      <c r="AL36" t="n">
        <v>362826.68666502</v>
      </c>
      <c r="AM36" t="n">
        <v>9344617.07616259</v>
      </c>
      <c r="AN36" t="n">
        <v>4950027.17960624</v>
      </c>
      <c r="AO36" t="n">
        <v>3666268.66163649</v>
      </c>
      <c r="AP36" t="n">
        <v>116729.622066543</v>
      </c>
      <c r="AQ36" t="n">
        <v>10668686.9810187</v>
      </c>
      <c r="AR36" t="n">
        <v>1959497.08384786</v>
      </c>
      <c r="AS36" t="n">
        <v>3345224.68286514</v>
      </c>
      <c r="AT36" t="n">
        <v>862958.267778414</v>
      </c>
      <c r="AU36" t="n">
        <v>1469443.66752488</v>
      </c>
      <c r="AV36" t="n">
        <v>541494.079010209</v>
      </c>
      <c r="AW36" t="n">
        <v>930977.176946477</v>
      </c>
      <c r="AX36" t="n">
        <v>5338206.5298001</v>
      </c>
      <c r="AY36" t="n">
        <v>16975710.4266172</v>
      </c>
      <c r="AZ36" t="n">
        <v>479614.915634713</v>
      </c>
      <c r="BA36" t="n">
        <v>3912810.72650406</v>
      </c>
      <c r="BB36" t="n">
        <v>16456724.9029242</v>
      </c>
      <c r="BC36" t="n">
        <v>15355501.4078122</v>
      </c>
      <c r="BD36" t="n">
        <v>19359175.3362185</v>
      </c>
      <c r="BE36" t="n">
        <v>7230311.52392862</v>
      </c>
      <c r="BF36" t="n">
        <v>2795648.99518485</v>
      </c>
      <c r="BG36" t="n">
        <v>54378489.2973228</v>
      </c>
      <c r="BH36" t="n">
        <v>33568892.2509477</v>
      </c>
      <c r="BI36" t="n">
        <v>8073340.21811264</v>
      </c>
      <c r="BJ36" t="n">
        <v>13296665.7170554</v>
      </c>
      <c r="BK36" t="n">
        <v>430033.659622651</v>
      </c>
      <c r="BL36" t="n">
        <v>3567127.99824922</v>
      </c>
      <c r="BM36" t="n">
        <v>4532932.21634992</v>
      </c>
      <c r="BN36" t="n">
        <v>49099027.8229637</v>
      </c>
      <c r="BO36" t="n">
        <v>22470562.3253075</v>
      </c>
      <c r="BP36" t="n">
        <v>12402089.4778678</v>
      </c>
      <c r="BQ36" t="n">
        <v>6243445.5362943</v>
      </c>
      <c r="BR36" t="n">
        <v>2529778.3124069</v>
      </c>
      <c r="BS36" t="n">
        <v>84605952.5630806</v>
      </c>
      <c r="BT36" t="n">
        <v>17162082.3619436</v>
      </c>
      <c r="BU36" t="n">
        <v>1224543808.5549</v>
      </c>
      <c r="BV36" t="n">
        <v>208042.456438948</v>
      </c>
      <c r="BW36" t="n">
        <v>483234882.845296</v>
      </c>
      <c r="BX36" t="n">
        <v>55783460.927973</v>
      </c>
      <c r="BY36" t="n">
        <v>8341373.91610198</v>
      </c>
      <c r="BZ36" t="n">
        <v>73895080.2005264</v>
      </c>
      <c r="CA36" t="n">
        <v>1670228853.3554</v>
      </c>
      <c r="CB36" t="n">
        <v>622143529.202045</v>
      </c>
      <c r="CC36" t="n">
        <v>0</v>
      </c>
      <c r="CD36" t="n">
        <v>0</v>
      </c>
      <c r="CE36" t="n">
        <v>63333672.5370074</v>
      </c>
      <c r="CF36" t="n">
        <v>5600697.40455182</v>
      </c>
      <c r="CG36" t="n">
        <v>0</v>
      </c>
      <c r="CH36" t="n">
        <v>0</v>
      </c>
      <c r="CI36" t="n">
        <v>96543.1330254645</v>
      </c>
      <c r="CJ36" t="n">
        <v>0</v>
      </c>
      <c r="CK36" t="n">
        <v>0</v>
      </c>
      <c r="CL36" t="n">
        <v>0</v>
      </c>
      <c r="CM36" t="n">
        <v>19989966.8362372</v>
      </c>
      <c r="CN36" t="n">
        <v>4541531.17995724</v>
      </c>
    </row>
    <row r="37">
      <c r="A37" t="s">
        <v>148</v>
      </c>
      <c r="B37" t="n">
        <v>128123.623890645</v>
      </c>
      <c r="C37" t="n">
        <v>15272.3337923915</v>
      </c>
      <c r="D37" t="n">
        <v>181683.391882831</v>
      </c>
      <c r="E37" t="n">
        <v>889621.327964976</v>
      </c>
      <c r="F37" t="n">
        <v>749915.623617405</v>
      </c>
      <c r="G37" t="n">
        <v>148471.031014299</v>
      </c>
      <c r="H37" t="n">
        <v>11506654.4310931</v>
      </c>
      <c r="I37" t="n">
        <v>6977175.2116102</v>
      </c>
      <c r="J37" t="n">
        <v>842495.875166353</v>
      </c>
      <c r="K37" t="n">
        <v>2617087.27499239</v>
      </c>
      <c r="L37" t="n">
        <v>3925265.9356442</v>
      </c>
      <c r="M37" t="n">
        <v>16460058.3967586</v>
      </c>
      <c r="N37" t="n">
        <v>121316.289542967</v>
      </c>
      <c r="O37" t="n">
        <v>28365.9608466792</v>
      </c>
      <c r="P37" t="n">
        <v>10085920.064342</v>
      </c>
      <c r="Q37" t="n">
        <v>3123548.41722641</v>
      </c>
      <c r="R37" t="n">
        <v>765234.992132907</v>
      </c>
      <c r="S37" t="n">
        <v>588610.75267588</v>
      </c>
      <c r="T37" t="n">
        <v>22168073.6253204</v>
      </c>
      <c r="U37" t="n">
        <v>52086.5817003648</v>
      </c>
      <c r="V37" t="n">
        <v>0</v>
      </c>
      <c r="W37" t="n">
        <v>7581132.40668714</v>
      </c>
      <c r="X37" t="n">
        <v>290952.013879883</v>
      </c>
      <c r="Y37" t="n">
        <v>9203.72501832328</v>
      </c>
      <c r="Z37" t="n">
        <v>1451201.39393718</v>
      </c>
      <c r="AA37" t="n">
        <v>2135296.75355371</v>
      </c>
      <c r="AB37" t="n">
        <v>801554.913972331</v>
      </c>
      <c r="AC37" t="n">
        <v>9778892.90189462</v>
      </c>
      <c r="AD37" t="n">
        <v>3652411.27942145</v>
      </c>
      <c r="AE37" t="n">
        <v>1613594.50903553</v>
      </c>
      <c r="AF37" t="n">
        <v>7462425.67958763</v>
      </c>
      <c r="AG37" t="n">
        <v>0</v>
      </c>
      <c r="AH37" t="n">
        <v>132992.681765037</v>
      </c>
      <c r="AI37" t="n">
        <v>0</v>
      </c>
      <c r="AJ37" t="n">
        <v>22020161.0859702</v>
      </c>
      <c r="AK37" t="n">
        <v>9032.68551236749</v>
      </c>
      <c r="AL37" t="n">
        <v>2148.60315094194</v>
      </c>
      <c r="AM37" t="n">
        <v>67124.4957052488</v>
      </c>
      <c r="AN37" t="n">
        <v>352171.187133706</v>
      </c>
      <c r="AO37" t="n">
        <v>65494.7970258062</v>
      </c>
      <c r="AP37" t="n">
        <v>37315.4892992246</v>
      </c>
      <c r="AQ37" t="n">
        <v>199117.569068264</v>
      </c>
      <c r="AR37" t="n">
        <v>21165.1407442548</v>
      </c>
      <c r="AS37" t="n">
        <v>219325.5135531</v>
      </c>
      <c r="AT37" t="n">
        <v>11780.8120990574</v>
      </c>
      <c r="AU37" t="n">
        <v>64128.9078028562</v>
      </c>
      <c r="AV37" t="n">
        <v>0</v>
      </c>
      <c r="AW37" t="n">
        <v>435314.526071575</v>
      </c>
      <c r="AX37" t="n">
        <v>768695.423575011</v>
      </c>
      <c r="AY37" t="n">
        <v>2354615.69911746</v>
      </c>
      <c r="AZ37" t="n">
        <v>0</v>
      </c>
      <c r="BA37" t="n">
        <v>80926.5117491309</v>
      </c>
      <c r="BB37" t="n">
        <v>1498904.94597876</v>
      </c>
      <c r="BC37" t="n">
        <v>0</v>
      </c>
      <c r="BD37" t="n">
        <v>14434953.9468303</v>
      </c>
      <c r="BE37" t="n">
        <v>479140.147937602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10810.6954002946</v>
      </c>
      <c r="BL37" t="n">
        <v>63889.7802436676</v>
      </c>
      <c r="BM37" t="n">
        <v>134956.19954737</v>
      </c>
      <c r="BN37" t="n">
        <v>866847.619863642</v>
      </c>
      <c r="BO37" t="n">
        <v>21034756.3323456</v>
      </c>
      <c r="BP37" t="n">
        <v>0</v>
      </c>
      <c r="BQ37" t="n">
        <v>0</v>
      </c>
      <c r="BR37" t="n">
        <v>0</v>
      </c>
      <c r="BS37" t="n">
        <v>0</v>
      </c>
      <c r="BT37" t="n">
        <v>14406.1431124901</v>
      </c>
      <c r="BU37" t="n">
        <v>2274508198.66161</v>
      </c>
      <c r="BV37" t="n">
        <v>0</v>
      </c>
      <c r="BW37" t="n">
        <v>241751199.360449</v>
      </c>
      <c r="BX37" t="n">
        <v>0</v>
      </c>
      <c r="BY37" t="n">
        <v>52081.0166274341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492783.168810174</v>
      </c>
      <c r="C38" t="n">
        <v>0</v>
      </c>
      <c r="D38" t="n">
        <v>1114.62203609099</v>
      </c>
      <c r="E38" t="n">
        <v>0</v>
      </c>
      <c r="F38" t="n">
        <v>0</v>
      </c>
      <c r="G38" t="n">
        <v>859010.965154159</v>
      </c>
      <c r="H38" t="n">
        <v>1151216.26428839</v>
      </c>
      <c r="I38" t="n">
        <v>0</v>
      </c>
      <c r="J38" t="n">
        <v>12574.5653009903</v>
      </c>
      <c r="K38" t="n">
        <v>0</v>
      </c>
      <c r="L38" t="n">
        <v>22689.3984719318</v>
      </c>
      <c r="M38" t="n">
        <v>138864.384674566</v>
      </c>
      <c r="N38" t="n">
        <v>879.103547412805</v>
      </c>
      <c r="O38" t="n">
        <v>18910.6405644528</v>
      </c>
      <c r="P38" t="n">
        <v>24926.5865043978</v>
      </c>
      <c r="Q38" t="n">
        <v>0</v>
      </c>
      <c r="R38" t="n">
        <v>39445.1026872632</v>
      </c>
      <c r="S38" t="n">
        <v>26319.993005832</v>
      </c>
      <c r="T38" t="n">
        <v>230061.549855067</v>
      </c>
      <c r="U38" t="n">
        <v>0</v>
      </c>
      <c r="V38" t="n">
        <v>0</v>
      </c>
      <c r="W38" t="n">
        <v>24534.4090831299</v>
      </c>
      <c r="X38" t="n">
        <v>123434.187706617</v>
      </c>
      <c r="Y38" t="n">
        <v>12271.6333577644</v>
      </c>
      <c r="Z38" t="n">
        <v>167068.3320334</v>
      </c>
      <c r="AA38" t="n">
        <v>15361.8471478684</v>
      </c>
      <c r="AB38" t="n">
        <v>64124.3931177865</v>
      </c>
      <c r="AC38" t="n">
        <v>98686.0751567347</v>
      </c>
      <c r="AD38" t="n">
        <v>151896.121261384</v>
      </c>
      <c r="AE38" t="n">
        <v>128516.376825839</v>
      </c>
      <c r="AF38" t="n">
        <v>269232.61275375</v>
      </c>
      <c r="AG38" t="n">
        <v>0</v>
      </c>
      <c r="AH38" t="n">
        <v>66496.3408825185</v>
      </c>
      <c r="AI38" t="n">
        <v>0</v>
      </c>
      <c r="AJ38" t="n">
        <v>3681770.93357421</v>
      </c>
      <c r="AK38" t="n">
        <v>42152.5323910483</v>
      </c>
      <c r="AL38" t="n">
        <v>0</v>
      </c>
      <c r="AM38" t="n">
        <v>207475.713998042</v>
      </c>
      <c r="AN38" t="n">
        <v>0</v>
      </c>
      <c r="AO38" t="n">
        <v>1336.62851073074</v>
      </c>
      <c r="AP38" t="n">
        <v>0</v>
      </c>
      <c r="AQ38" t="n">
        <v>0</v>
      </c>
      <c r="AR38" t="n">
        <v>3527.52345737581</v>
      </c>
      <c r="AS38" t="n">
        <v>19938.6830502818</v>
      </c>
      <c r="AT38" t="n">
        <v>5048.91947102462</v>
      </c>
      <c r="AU38" t="n">
        <v>4580.63627163259</v>
      </c>
      <c r="AV38" t="n">
        <v>0</v>
      </c>
      <c r="AW38" t="n">
        <v>342975.081147301</v>
      </c>
      <c r="AX38" t="n">
        <v>67375.6944966145</v>
      </c>
      <c r="AY38" t="n">
        <v>12569.1229490256</v>
      </c>
      <c r="AZ38" t="n">
        <v>0</v>
      </c>
      <c r="BA38" t="n">
        <v>3237.06046996524</v>
      </c>
      <c r="BB38" t="n">
        <v>15049.2464455699</v>
      </c>
      <c r="BC38" t="n">
        <v>0</v>
      </c>
      <c r="BD38" t="n">
        <v>407460.122699387</v>
      </c>
      <c r="BE38" t="n">
        <v>0</v>
      </c>
      <c r="BF38" t="n">
        <v>29772.5683460424</v>
      </c>
      <c r="BG38" t="n">
        <v>15057.0107307559</v>
      </c>
      <c r="BH38" t="n">
        <v>33762.7530611156</v>
      </c>
      <c r="BI38" t="n">
        <v>7882.32623827297</v>
      </c>
      <c r="BJ38" t="n">
        <v>8391.87496596417</v>
      </c>
      <c r="BK38" t="n">
        <v>17297.1126404714</v>
      </c>
      <c r="BL38" t="n">
        <v>60340.3480079083</v>
      </c>
      <c r="BM38" t="n">
        <v>151314.526765233</v>
      </c>
      <c r="BN38" t="n">
        <v>8923826.66030168</v>
      </c>
      <c r="BO38" t="n">
        <v>177797.030117356</v>
      </c>
      <c r="BP38" t="n">
        <v>0</v>
      </c>
      <c r="BQ38" t="n">
        <v>0</v>
      </c>
      <c r="BR38" t="n">
        <v>0</v>
      </c>
      <c r="BS38" t="n">
        <v>161292.26135131</v>
      </c>
      <c r="BT38" t="n">
        <v>0</v>
      </c>
      <c r="BU38" t="n">
        <v>1856760844.16835</v>
      </c>
      <c r="BV38" t="n">
        <v>0</v>
      </c>
      <c r="BW38" t="n">
        <v>1639234.93359735</v>
      </c>
      <c r="BX38" t="n">
        <v>6945.91073558201</v>
      </c>
      <c r="BY38" t="n">
        <v>60083.5143568053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18245.5771138762</v>
      </c>
      <c r="C39" t="n">
        <v>0</v>
      </c>
      <c r="D39" t="n">
        <v>156.323919957714</v>
      </c>
      <c r="E39" t="n">
        <v>535.813231341538</v>
      </c>
      <c r="F39" t="n">
        <v>411.296697873394</v>
      </c>
      <c r="G39" t="n">
        <v>30639.2916821084</v>
      </c>
      <c r="H39" t="n">
        <v>120126.503384209</v>
      </c>
      <c r="I39" t="n">
        <v>5493.54345000953</v>
      </c>
      <c r="J39" t="n">
        <v>969.959234414446</v>
      </c>
      <c r="K39" t="n">
        <v>1668.37370733326</v>
      </c>
      <c r="L39" t="n">
        <v>3500.36618274605</v>
      </c>
      <c r="M39" t="n">
        <v>18566.6463191373</v>
      </c>
      <c r="N39" t="n">
        <v>147.951403934832</v>
      </c>
      <c r="O39" t="n">
        <v>1458.70254797109</v>
      </c>
      <c r="P39" t="n">
        <v>7385.1163024786</v>
      </c>
      <c r="Q39" t="n">
        <v>1698.64871587168</v>
      </c>
      <c r="R39" t="n">
        <v>3429.90895822968</v>
      </c>
      <c r="S39" t="n">
        <v>2181.24401681366</v>
      </c>
      <c r="T39" t="n">
        <v>28347.771860055</v>
      </c>
      <c r="U39" t="n">
        <v>128.912788344157</v>
      </c>
      <c r="V39" t="n">
        <v>0</v>
      </c>
      <c r="W39" t="n">
        <v>5849.54835972172</v>
      </c>
      <c r="X39" t="n">
        <v>5811.69879213667</v>
      </c>
      <c r="Y39" t="n">
        <v>344.215306831234</v>
      </c>
      <c r="Z39" t="n">
        <v>6753.65866693602</v>
      </c>
      <c r="AA39" t="n">
        <v>2585.36876486083</v>
      </c>
      <c r="AB39" t="n">
        <v>3372.50302316725</v>
      </c>
      <c r="AC39" t="n">
        <v>11072.4486789048</v>
      </c>
      <c r="AD39" t="n">
        <v>4454.30187960398</v>
      </c>
      <c r="AE39" t="n">
        <v>2202.9592363084</v>
      </c>
      <c r="AF39" t="n">
        <v>9521.94427119957</v>
      </c>
      <c r="AG39" t="n">
        <v>0</v>
      </c>
      <c r="AH39" t="n">
        <v>2797.80095844556</v>
      </c>
      <c r="AI39" t="n">
        <v>5.60306638977351</v>
      </c>
      <c r="AJ39" t="n">
        <v>146755.618018249</v>
      </c>
      <c r="AK39" t="n">
        <v>1520.1832671357</v>
      </c>
      <c r="AL39" t="n">
        <v>30.1338082428977</v>
      </c>
      <c r="AM39" t="n">
        <v>7702.44617674589</v>
      </c>
      <c r="AN39" t="n">
        <v>189.967052943361</v>
      </c>
      <c r="AO39" t="n">
        <v>93.7299827022323</v>
      </c>
      <c r="AP39" t="n">
        <v>28.2888455337933</v>
      </c>
      <c r="AQ39" t="n">
        <v>116.357974277857</v>
      </c>
      <c r="AR39" t="n">
        <v>123.682350775532</v>
      </c>
      <c r="AS39" t="n">
        <v>1048.63789886531</v>
      </c>
      <c r="AT39" t="n">
        <v>188.827389065297</v>
      </c>
      <c r="AU39" t="n">
        <v>192.728026549703</v>
      </c>
      <c r="AV39" t="n">
        <v>0</v>
      </c>
      <c r="AW39" t="n">
        <v>24975.8800553623</v>
      </c>
      <c r="AX39" t="n">
        <v>6743.38628705153</v>
      </c>
      <c r="AY39" t="n">
        <v>2761.71837601884</v>
      </c>
      <c r="AZ39" t="n">
        <v>40.0770386683128</v>
      </c>
      <c r="BA39" t="n">
        <v>181.596977421975</v>
      </c>
      <c r="BB39" t="n">
        <v>1604.08049694053</v>
      </c>
      <c r="BC39" t="n">
        <v>0</v>
      </c>
      <c r="BD39" t="n">
        <v>24991.6830238482</v>
      </c>
      <c r="BE39" t="n">
        <v>310.147491365311</v>
      </c>
      <c r="BF39" t="n">
        <v>2366.14731230741</v>
      </c>
      <c r="BG39" t="n">
        <v>1055.86058056589</v>
      </c>
      <c r="BH39" t="n">
        <v>757.627355093427</v>
      </c>
      <c r="BI39" t="n">
        <v>110.548338006462</v>
      </c>
      <c r="BJ39" t="n">
        <v>353.084027050612</v>
      </c>
      <c r="BK39" t="n">
        <v>121.294589751314</v>
      </c>
      <c r="BL39" t="n">
        <v>348.461451439502</v>
      </c>
      <c r="BM39" t="n">
        <v>3498.69872617413</v>
      </c>
      <c r="BN39" t="n">
        <v>27613.3109287725</v>
      </c>
      <c r="BO39" t="n">
        <v>24648.0229511443</v>
      </c>
      <c r="BP39" t="n">
        <v>0</v>
      </c>
      <c r="BQ39" t="n">
        <v>231.948915313949</v>
      </c>
      <c r="BR39" t="n">
        <v>0</v>
      </c>
      <c r="BS39" t="n">
        <v>2488.30738228335</v>
      </c>
      <c r="BT39" t="n">
        <v>0</v>
      </c>
      <c r="BU39" t="n">
        <v>19418393.3175506</v>
      </c>
      <c r="BV39" t="n">
        <v>0</v>
      </c>
      <c r="BW39" t="n">
        <v>389844.081366194</v>
      </c>
      <c r="BX39" t="n">
        <v>104443.595966422</v>
      </c>
      <c r="BY39" t="n">
        <v>15993.0814454353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15167836.9447895</v>
      </c>
      <c r="C40" t="n">
        <v>174104.272457426</v>
      </c>
      <c r="D40" t="n">
        <v>68827.7791739963</v>
      </c>
      <c r="E40" t="n">
        <v>668852.057424488</v>
      </c>
      <c r="F40" t="n">
        <v>79599.8302512601</v>
      </c>
      <c r="G40" t="n">
        <v>28018020.7609376</v>
      </c>
      <c r="H40" t="n">
        <v>412202661.163432</v>
      </c>
      <c r="I40" t="n">
        <v>8930767.20095526</v>
      </c>
      <c r="J40" t="n">
        <v>101539.420727171</v>
      </c>
      <c r="K40" t="n">
        <v>536799.261638378</v>
      </c>
      <c r="L40" t="n">
        <v>1487287.22709471</v>
      </c>
      <c r="M40" t="n">
        <v>9559868.84993426</v>
      </c>
      <c r="N40" t="n">
        <v>75998.3564136644</v>
      </c>
      <c r="O40" t="n">
        <v>1149764.74870508</v>
      </c>
      <c r="P40" t="n">
        <v>2504182.41030549</v>
      </c>
      <c r="Q40" t="n">
        <v>345183.313277182</v>
      </c>
      <c r="R40" t="n">
        <v>2458214.10093963</v>
      </c>
      <c r="S40" t="n">
        <v>1554790.79688961</v>
      </c>
      <c r="T40" t="n">
        <v>15502010.5883563</v>
      </c>
      <c r="U40" t="n">
        <v>125160.752682226</v>
      </c>
      <c r="V40" t="n">
        <v>5718.35896669618</v>
      </c>
      <c r="W40" t="n">
        <v>2214226.18757045</v>
      </c>
      <c r="X40" t="n">
        <v>7169749.25624817</v>
      </c>
      <c r="Y40" t="n">
        <v>851036.146725025</v>
      </c>
      <c r="Z40" t="n">
        <v>10098606.1994236</v>
      </c>
      <c r="AA40" t="n">
        <v>1473966.41655841</v>
      </c>
      <c r="AB40" t="n">
        <v>4256649.23466356</v>
      </c>
      <c r="AC40" t="n">
        <v>9562662.40500296</v>
      </c>
      <c r="AD40" t="n">
        <v>2125160.76188373</v>
      </c>
      <c r="AE40" t="n">
        <v>7338985.06918858</v>
      </c>
      <c r="AF40" t="n">
        <v>7884403.46573606</v>
      </c>
      <c r="AG40" t="n">
        <v>4610.7536150101</v>
      </c>
      <c r="AH40" t="n">
        <v>2242584.80987739</v>
      </c>
      <c r="AI40" t="n">
        <v>177242.395938369</v>
      </c>
      <c r="AJ40" t="n">
        <v>129179706.892332</v>
      </c>
      <c r="AK40" t="n">
        <v>1291445.74271379</v>
      </c>
      <c r="AL40" t="n">
        <v>28576.3672878197</v>
      </c>
      <c r="AM40" t="n">
        <v>8869569.82048068</v>
      </c>
      <c r="AN40" t="n">
        <v>51471.075124434</v>
      </c>
      <c r="AO40" t="n">
        <v>79997.0634640958</v>
      </c>
      <c r="AP40" t="n">
        <v>14371.47854483</v>
      </c>
      <c r="AQ40" t="n">
        <v>42035.850902126</v>
      </c>
      <c r="AR40" t="n">
        <v>157503.621325803</v>
      </c>
      <c r="AS40" t="n">
        <v>1207534.18420088</v>
      </c>
      <c r="AT40" t="n">
        <v>241422.037928547</v>
      </c>
      <c r="AU40" t="n">
        <v>230634.5954511</v>
      </c>
      <c r="AV40" t="n">
        <v>0</v>
      </c>
      <c r="AW40" t="n">
        <v>19731252.7481425</v>
      </c>
      <c r="AX40" t="n">
        <v>3403997.33160077</v>
      </c>
      <c r="AY40" t="n">
        <v>656735.418829173</v>
      </c>
      <c r="AZ40" t="n">
        <v>59723.2272573147</v>
      </c>
      <c r="BA40" t="n">
        <v>166060.884707184</v>
      </c>
      <c r="BB40" t="n">
        <v>1015069.73259062</v>
      </c>
      <c r="BC40" t="n">
        <v>0</v>
      </c>
      <c r="BD40" t="n">
        <v>7803661.35433721</v>
      </c>
      <c r="BE40" t="n">
        <v>154061.691561906</v>
      </c>
      <c r="BF40" t="n">
        <v>408545.018094335</v>
      </c>
      <c r="BG40" t="n">
        <v>2081251.33023945</v>
      </c>
      <c r="BH40" t="n">
        <v>981481.355523022</v>
      </c>
      <c r="BI40" t="n">
        <v>561614.671029472</v>
      </c>
      <c r="BJ40" t="n">
        <v>446446.894868827</v>
      </c>
      <c r="BK40" t="n">
        <v>636748.742021664</v>
      </c>
      <c r="BL40" t="n">
        <v>1129604.64994994</v>
      </c>
      <c r="BM40" t="n">
        <v>4541676.39217359</v>
      </c>
      <c r="BN40" t="n">
        <v>36029881.274916</v>
      </c>
      <c r="BO40" t="n">
        <v>13616491.1420563</v>
      </c>
      <c r="BP40" t="n">
        <v>5101.88181092794</v>
      </c>
      <c r="BQ40" t="n">
        <v>240909.477708607</v>
      </c>
      <c r="BR40" t="n">
        <v>9594.85247558132</v>
      </c>
      <c r="BS40" t="n">
        <v>2811721.97179551</v>
      </c>
      <c r="BT40" t="n">
        <v>0</v>
      </c>
      <c r="BU40" t="n">
        <v>5272430992.03476</v>
      </c>
      <c r="BV40" t="n">
        <v>0</v>
      </c>
      <c r="BW40" t="n">
        <v>190734374.130861</v>
      </c>
      <c r="BX40" t="n">
        <v>66530242.1135161</v>
      </c>
      <c r="BY40" t="n">
        <v>42260977.8629188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738448.549781863</v>
      </c>
      <c r="C41" t="n">
        <v>5883.28899614016</v>
      </c>
      <c r="D41" t="n">
        <v>6267.18901028041</v>
      </c>
      <c r="E41" t="n">
        <v>47060.9863075768</v>
      </c>
      <c r="F41" t="n">
        <v>770145.149543786</v>
      </c>
      <c r="G41" t="n">
        <v>4784180.1725382</v>
      </c>
      <c r="H41" t="n">
        <v>1088767.11129916</v>
      </c>
      <c r="I41" t="n">
        <v>1725902.01358195</v>
      </c>
      <c r="J41" t="n">
        <v>863863.620736834</v>
      </c>
      <c r="K41" t="n">
        <v>2800706.85000298</v>
      </c>
      <c r="L41" t="n">
        <v>2534420.24197863</v>
      </c>
      <c r="M41" t="n">
        <v>1472916.67581512</v>
      </c>
      <c r="N41" t="n">
        <v>30014.8146427326</v>
      </c>
      <c r="O41" t="n">
        <v>172166.913871747</v>
      </c>
      <c r="P41" t="n">
        <v>516906.6995341</v>
      </c>
      <c r="Q41" t="n">
        <v>363654.79935903</v>
      </c>
      <c r="R41" t="n">
        <v>423218.2539722</v>
      </c>
      <c r="S41" t="n">
        <v>219607.047434292</v>
      </c>
      <c r="T41" t="n">
        <v>5344537.43466494</v>
      </c>
      <c r="U41" t="n">
        <v>46823.8252670737</v>
      </c>
      <c r="V41" t="n">
        <v>11816.3383650137</v>
      </c>
      <c r="W41" t="n">
        <v>2068790.10781847</v>
      </c>
      <c r="X41" t="n">
        <v>772569.373873973</v>
      </c>
      <c r="Y41" t="n">
        <v>224103.253800894</v>
      </c>
      <c r="Z41" t="n">
        <v>551683.221043361</v>
      </c>
      <c r="AA41" t="n">
        <v>3010479.33595349</v>
      </c>
      <c r="AB41" t="n">
        <v>27976456.1622541</v>
      </c>
      <c r="AC41" t="n">
        <v>728251.551031908</v>
      </c>
      <c r="AD41" t="n">
        <v>114058.945630299</v>
      </c>
      <c r="AE41" t="n">
        <v>411697.545381329</v>
      </c>
      <c r="AF41" t="n">
        <v>495025.290639189</v>
      </c>
      <c r="AG41" t="n">
        <v>78446.5467895507</v>
      </c>
      <c r="AH41" t="n">
        <v>354281.726068733</v>
      </c>
      <c r="AI41" t="n">
        <v>19435.8534747889</v>
      </c>
      <c r="AJ41" t="n">
        <v>10650068.5032329</v>
      </c>
      <c r="AK41" t="n">
        <v>18903.5414205951</v>
      </c>
      <c r="AL41" t="n">
        <v>14053.8007196916</v>
      </c>
      <c r="AM41" t="n">
        <v>1822477.00287521</v>
      </c>
      <c r="AN41" t="n">
        <v>619267.357975634</v>
      </c>
      <c r="AO41" t="n">
        <v>317218.567310383</v>
      </c>
      <c r="AP41" t="n">
        <v>157045.611570816</v>
      </c>
      <c r="AQ41" t="n">
        <v>821265.831419374</v>
      </c>
      <c r="AR41" t="n">
        <v>2061545.80206868</v>
      </c>
      <c r="AS41" t="n">
        <v>19012981.8973956</v>
      </c>
      <c r="AT41" t="n">
        <v>2857264.93835159</v>
      </c>
      <c r="AU41" t="n">
        <v>314444.597717541</v>
      </c>
      <c r="AV41" t="n">
        <v>647103.772926721</v>
      </c>
      <c r="AW41" t="n">
        <v>22084.2213077107</v>
      </c>
      <c r="AX41" t="n">
        <v>19918205.1331278</v>
      </c>
      <c r="AY41" t="n">
        <v>2947445.9023077</v>
      </c>
      <c r="AZ41" t="n">
        <v>1334021.63163994</v>
      </c>
      <c r="BA41" t="n">
        <v>6426816.94424857</v>
      </c>
      <c r="BB41" t="n">
        <v>7968579.630537</v>
      </c>
      <c r="BC41" t="n">
        <v>2993752.20519288</v>
      </c>
      <c r="BD41" t="n">
        <v>14859299.5142316</v>
      </c>
      <c r="BE41" t="n">
        <v>1820753.90867733</v>
      </c>
      <c r="BF41" t="n">
        <v>1226847.43121544</v>
      </c>
      <c r="BG41" t="n">
        <v>12710213.363088</v>
      </c>
      <c r="BH41" t="n">
        <v>1151997.37963384</v>
      </c>
      <c r="BI41" t="n">
        <v>1243474.66629843</v>
      </c>
      <c r="BJ41" t="n">
        <v>3001925.03178423</v>
      </c>
      <c r="BK41" t="n">
        <v>148953.85994774</v>
      </c>
      <c r="BL41" t="n">
        <v>301402.456998567</v>
      </c>
      <c r="BM41" t="n">
        <v>405915.700538072</v>
      </c>
      <c r="BN41" t="n">
        <v>7422615.65288295</v>
      </c>
      <c r="BO41" t="n">
        <v>2383373.60565852</v>
      </c>
      <c r="BP41" t="n">
        <v>5961817.73927369</v>
      </c>
      <c r="BQ41" t="n">
        <v>8326337.11497553</v>
      </c>
      <c r="BR41" t="n">
        <v>560623.488712902</v>
      </c>
      <c r="BS41" t="n">
        <v>13459834.2188808</v>
      </c>
      <c r="BT41" t="n">
        <v>195718.496463267</v>
      </c>
      <c r="BU41" t="n">
        <v>254040589.150635</v>
      </c>
      <c r="BV41" t="n">
        <v>0</v>
      </c>
      <c r="BW41" t="n">
        <v>146790.21822113</v>
      </c>
      <c r="BX41" t="n">
        <v>17599.8475928396</v>
      </c>
      <c r="BY41" t="n">
        <v>7338.765040206</v>
      </c>
      <c r="BZ41" t="n">
        <v>26245.8135068922</v>
      </c>
      <c r="CA41" t="n">
        <v>45245838.3515483</v>
      </c>
      <c r="CB41" t="n">
        <v>-256534009.045145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43161.8413358467</v>
      </c>
      <c r="CN41" t="n">
        <v>12331.9546673848</v>
      </c>
    </row>
    <row r="42">
      <c r="A42" t="s">
        <v>153</v>
      </c>
      <c r="B42" t="n">
        <v>19590472.6866736</v>
      </c>
      <c r="C42" t="n">
        <v>287634.193299941</v>
      </c>
      <c r="D42" t="n">
        <v>404978.977382883</v>
      </c>
      <c r="E42" t="n">
        <v>3927451.05157954</v>
      </c>
      <c r="F42" t="n">
        <v>769305.950578456</v>
      </c>
      <c r="G42" t="n">
        <v>20788827.0550915</v>
      </c>
      <c r="H42" t="n">
        <v>10750044.9296007</v>
      </c>
      <c r="I42" t="n">
        <v>18058700.1242362</v>
      </c>
      <c r="J42" t="n">
        <v>10469651.5562804</v>
      </c>
      <c r="K42" t="n">
        <v>68916441.4397666</v>
      </c>
      <c r="L42" t="n">
        <v>9686028.566345</v>
      </c>
      <c r="M42" t="n">
        <v>4329818.96489861</v>
      </c>
      <c r="N42" t="n">
        <v>57948.6312266235</v>
      </c>
      <c r="O42" t="n">
        <v>2010802.41816921</v>
      </c>
      <c r="P42" t="n">
        <v>3127283.33469714</v>
      </c>
      <c r="Q42" t="n">
        <v>1450688.01685137</v>
      </c>
      <c r="R42" t="n">
        <v>1702470.69115405</v>
      </c>
      <c r="S42" t="n">
        <v>490069.252554086</v>
      </c>
      <c r="T42" t="n">
        <v>83395521.7310838</v>
      </c>
      <c r="U42" t="n">
        <v>185136.276210126</v>
      </c>
      <c r="V42" t="n">
        <v>9447.1867069623</v>
      </c>
      <c r="W42" t="n">
        <v>48556183.9657035</v>
      </c>
      <c r="X42" t="n">
        <v>726474.860711733</v>
      </c>
      <c r="Y42" t="n">
        <v>9083496.40690428</v>
      </c>
      <c r="Z42" t="n">
        <v>12239001.9984365</v>
      </c>
      <c r="AA42" t="n">
        <v>21879829.4524257</v>
      </c>
      <c r="AB42" t="n">
        <v>1981379.65037095</v>
      </c>
      <c r="AC42" t="n">
        <v>232327.701217037</v>
      </c>
      <c r="AD42" t="n">
        <v>623082.720137431</v>
      </c>
      <c r="AE42" t="n">
        <v>425817.419781837</v>
      </c>
      <c r="AF42" t="n">
        <v>537377.600079959</v>
      </c>
      <c r="AG42" t="n">
        <v>128732.944835196</v>
      </c>
      <c r="AH42" t="n">
        <v>3170063.00371037</v>
      </c>
      <c r="AI42" t="n">
        <v>8151.26791869689</v>
      </c>
      <c r="AJ42" t="n">
        <v>61295703.097871</v>
      </c>
      <c r="AK42" t="n">
        <v>37804.1503166586</v>
      </c>
      <c r="AL42" t="n">
        <v>15174.7862125397</v>
      </c>
      <c r="AM42" t="n">
        <v>1259412.39377906</v>
      </c>
      <c r="AN42" t="n">
        <v>212585.839547928</v>
      </c>
      <c r="AO42" t="n">
        <v>33564.838541989</v>
      </c>
      <c r="AP42" t="n">
        <v>6331.42209079396</v>
      </c>
      <c r="AQ42" t="n">
        <v>690125.490254601</v>
      </c>
      <c r="AR42" t="n">
        <v>74740.7649038346</v>
      </c>
      <c r="AS42" t="n">
        <v>273815.722710202</v>
      </c>
      <c r="AT42" t="n">
        <v>59431.0723407587</v>
      </c>
      <c r="AU42" t="n">
        <v>488864.588388665</v>
      </c>
      <c r="AV42" t="n">
        <v>10284.2962577531</v>
      </c>
      <c r="AW42" t="n">
        <v>295024.404984617</v>
      </c>
      <c r="AX42" t="n">
        <v>754630.033480727</v>
      </c>
      <c r="AY42" t="n">
        <v>249874.061279885</v>
      </c>
      <c r="AZ42" t="n">
        <v>82970.4411517652</v>
      </c>
      <c r="BA42" t="n">
        <v>111770.540830939</v>
      </c>
      <c r="BB42" t="n">
        <v>1762006.23532174</v>
      </c>
      <c r="BC42" t="n">
        <v>390558.409505121</v>
      </c>
      <c r="BD42" t="n">
        <v>2660310.33412495</v>
      </c>
      <c r="BE42" t="n">
        <v>323937.403318498</v>
      </c>
      <c r="BF42" t="n">
        <v>176525.141276619</v>
      </c>
      <c r="BG42" t="n">
        <v>2439959.84707021</v>
      </c>
      <c r="BH42" t="n">
        <v>1192268.93859992</v>
      </c>
      <c r="BI42" t="n">
        <v>525771.686441541</v>
      </c>
      <c r="BJ42" t="n">
        <v>1626596.45450402</v>
      </c>
      <c r="BK42" t="n">
        <v>28844.0614123279</v>
      </c>
      <c r="BL42" t="n">
        <v>236756.373193966</v>
      </c>
      <c r="BM42" t="n">
        <v>462131.163155029</v>
      </c>
      <c r="BN42" t="n">
        <v>4946292.01985068</v>
      </c>
      <c r="BO42" t="n">
        <v>928370.049491551</v>
      </c>
      <c r="BP42" t="n">
        <v>739619.925803683</v>
      </c>
      <c r="BQ42" t="n">
        <v>4827934.14343509</v>
      </c>
      <c r="BR42" t="n">
        <v>3978717.52821275</v>
      </c>
      <c r="BS42" t="n">
        <v>14789929.7496305</v>
      </c>
      <c r="BT42" t="n">
        <v>7977580.43415603</v>
      </c>
      <c r="BU42" t="n">
        <v>31872730.6547996</v>
      </c>
      <c r="BV42" t="n">
        <v>0</v>
      </c>
      <c r="BW42" t="n">
        <v>49947258.6893942</v>
      </c>
      <c r="BX42" t="n">
        <v>0</v>
      </c>
      <c r="BY42" t="n">
        <v>145759.43897012</v>
      </c>
      <c r="BZ42" t="n">
        <v>9697545.40375514</v>
      </c>
      <c r="CA42" t="n">
        <v>206023023.671901</v>
      </c>
      <c r="CB42" t="n">
        <v>7206910.22677767</v>
      </c>
      <c r="CC42" t="n">
        <v>0</v>
      </c>
      <c r="CD42" t="n">
        <v>0</v>
      </c>
      <c r="CE42" t="n">
        <v>2108017.70735966</v>
      </c>
      <c r="CF42" t="n">
        <v>0</v>
      </c>
      <c r="CG42" t="n">
        <v>0</v>
      </c>
      <c r="CH42" t="n">
        <v>0</v>
      </c>
      <c r="CI42" t="n">
        <v>3092785.10349848</v>
      </c>
      <c r="CJ42" t="n">
        <v>0</v>
      </c>
      <c r="CK42" t="n">
        <v>0</v>
      </c>
      <c r="CL42" t="n">
        <v>0</v>
      </c>
      <c r="CM42" t="n">
        <v>3210493.99762596</v>
      </c>
      <c r="CN42" t="n">
        <v>0</v>
      </c>
    </row>
    <row r="43">
      <c r="A43" t="s">
        <v>154</v>
      </c>
      <c r="B43" t="n">
        <v>483210.161171274</v>
      </c>
      <c r="C43" t="n">
        <v>10454.2039664268</v>
      </c>
      <c r="D43" t="n">
        <v>22507.911687927</v>
      </c>
      <c r="E43" t="n">
        <v>90130.2271378515</v>
      </c>
      <c r="F43" t="n">
        <v>31187.042927185</v>
      </c>
      <c r="G43" t="n">
        <v>227762.90054337</v>
      </c>
      <c r="H43" t="n">
        <v>480264.393207688</v>
      </c>
      <c r="I43" t="n">
        <v>16757.9284129665</v>
      </c>
      <c r="J43" t="n">
        <v>161391.186465879</v>
      </c>
      <c r="K43" t="n">
        <v>1056037.17111857</v>
      </c>
      <c r="L43" t="n">
        <v>123279.902510906</v>
      </c>
      <c r="M43" t="n">
        <v>45943.4054666458</v>
      </c>
      <c r="N43" t="n">
        <v>1278.74670787302</v>
      </c>
      <c r="O43" t="n">
        <v>44497.3869728269</v>
      </c>
      <c r="P43" t="n">
        <v>18928.9596676443</v>
      </c>
      <c r="Q43" t="n">
        <v>11999.7008056071</v>
      </c>
      <c r="R43" t="n">
        <v>8100.2776898722</v>
      </c>
      <c r="S43" t="n">
        <v>10646.1358262049</v>
      </c>
      <c r="T43" t="n">
        <v>1268288.68447205</v>
      </c>
      <c r="U43" t="n">
        <v>7340.58279516465</v>
      </c>
      <c r="V43" t="n">
        <v>0</v>
      </c>
      <c r="W43" t="n">
        <v>291800.46344752</v>
      </c>
      <c r="X43" t="n">
        <v>754.402297607851</v>
      </c>
      <c r="Y43" t="n">
        <v>40950.8153339698</v>
      </c>
      <c r="Z43" t="n">
        <v>202935.535365493</v>
      </c>
      <c r="AA43" t="n">
        <v>182706.422721232</v>
      </c>
      <c r="AB43" t="n">
        <v>16460.3891092266</v>
      </c>
      <c r="AC43" t="n">
        <v>9211.70481174806</v>
      </c>
      <c r="AD43" t="n">
        <v>8861.57335829225</v>
      </c>
      <c r="AE43" t="n">
        <v>6109.16060986853</v>
      </c>
      <c r="AF43" t="n">
        <v>10516.826362094</v>
      </c>
      <c r="AG43" t="n">
        <v>1744.19085594161</v>
      </c>
      <c r="AH43" t="n">
        <v>15646.8174752813</v>
      </c>
      <c r="AI43" t="n">
        <v>102.55215378638</v>
      </c>
      <c r="AJ43" t="n">
        <v>27131.7969664718</v>
      </c>
      <c r="AK43" t="n">
        <v>257.626901238898</v>
      </c>
      <c r="AL43" t="n">
        <v>919.224915466288</v>
      </c>
      <c r="AM43" t="n">
        <v>4699.22711303616</v>
      </c>
      <c r="AN43" t="n">
        <v>2317.96056808582</v>
      </c>
      <c r="AO43" t="n">
        <v>228.73693157299</v>
      </c>
      <c r="AP43" t="n">
        <v>0</v>
      </c>
      <c r="AQ43" t="n">
        <v>4495.999567302</v>
      </c>
      <c r="AR43" t="n">
        <v>1660.07677850565</v>
      </c>
      <c r="AS43" t="n">
        <v>2132.56392104905</v>
      </c>
      <c r="AT43" t="n">
        <v>288.00681173807</v>
      </c>
      <c r="AU43" t="n">
        <v>0</v>
      </c>
      <c r="AV43" t="n">
        <v>224.27263496645</v>
      </c>
      <c r="AW43" t="n">
        <v>6207.93961344862</v>
      </c>
      <c r="AX43" t="n">
        <v>12316.122692407</v>
      </c>
      <c r="AY43" t="n">
        <v>3943.41041923355</v>
      </c>
      <c r="AZ43" t="n">
        <v>0</v>
      </c>
      <c r="BA43" t="n">
        <v>2215.82967375511</v>
      </c>
      <c r="BB43" t="n">
        <v>387851.340202264</v>
      </c>
      <c r="BC43" t="n">
        <v>126572.390229754</v>
      </c>
      <c r="BD43" t="n">
        <v>67404.272422113</v>
      </c>
      <c r="BE43" t="n">
        <v>10722.4419097276</v>
      </c>
      <c r="BF43" t="n">
        <v>96804.4835218708</v>
      </c>
      <c r="BG43" t="n">
        <v>106288.990717725</v>
      </c>
      <c r="BH43" t="n">
        <v>109778.432091238</v>
      </c>
      <c r="BI43" t="n">
        <v>6070.05309490488</v>
      </c>
      <c r="BJ43" t="n">
        <v>10770.7473380698</v>
      </c>
      <c r="BK43" t="n">
        <v>555.009549964278</v>
      </c>
      <c r="BL43" t="n">
        <v>3644.48116398467</v>
      </c>
      <c r="BM43" t="n">
        <v>3149.32139810836</v>
      </c>
      <c r="BN43" t="n">
        <v>37948.3206021086</v>
      </c>
      <c r="BO43" t="n">
        <v>22234.651441795</v>
      </c>
      <c r="BP43" t="n">
        <v>394037.288461155</v>
      </c>
      <c r="BQ43" t="n">
        <v>108963.447083795</v>
      </c>
      <c r="BR43" t="n">
        <v>397529.106783413</v>
      </c>
      <c r="BS43" t="n">
        <v>472682.671484042</v>
      </c>
      <c r="BT43" t="n">
        <v>103543.439097476</v>
      </c>
      <c r="BU43" t="n">
        <v>11050589.1671525</v>
      </c>
      <c r="BV43" t="n">
        <v>0</v>
      </c>
      <c r="BW43" t="n">
        <v>201.155911583251</v>
      </c>
      <c r="BX43" t="n">
        <v>0</v>
      </c>
      <c r="BY43" t="n">
        <v>0</v>
      </c>
      <c r="BZ43" t="n">
        <v>29151.3660340964</v>
      </c>
      <c r="CA43" t="n">
        <v>2870939.37103536</v>
      </c>
      <c r="CB43" t="n">
        <v>6117659.62842813</v>
      </c>
      <c r="CC43" t="n">
        <v>0</v>
      </c>
      <c r="CD43" t="n">
        <v>0</v>
      </c>
      <c r="CE43" t="n">
        <v>5033.22857245677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45687183.0243827</v>
      </c>
      <c r="C44" t="n">
        <v>2760944.886222</v>
      </c>
      <c r="D44" t="n">
        <v>637995.936921261</v>
      </c>
      <c r="E44" t="n">
        <v>3071169.8578445</v>
      </c>
      <c r="F44" t="n">
        <v>1610758.00834002</v>
      </c>
      <c r="G44" t="n">
        <v>8721881.70915602</v>
      </c>
      <c r="H44" t="n">
        <v>70015885.8120928</v>
      </c>
      <c r="I44" t="n">
        <v>29671240.4552696</v>
      </c>
      <c r="J44" t="n">
        <v>12371548.9980247</v>
      </c>
      <c r="K44" t="n">
        <v>114311889.132923</v>
      </c>
      <c r="L44" t="n">
        <v>25743177.1728921</v>
      </c>
      <c r="M44" t="n">
        <v>19805065.0617244</v>
      </c>
      <c r="N44" t="n">
        <v>581083.711632647</v>
      </c>
      <c r="O44" t="n">
        <v>7265900.74673824</v>
      </c>
      <c r="P44" t="n">
        <v>12119269.785721</v>
      </c>
      <c r="Q44" t="n">
        <v>6083390.92553105</v>
      </c>
      <c r="R44" t="n">
        <v>4977581.38851933</v>
      </c>
      <c r="S44" t="n">
        <v>1870361.01243186</v>
      </c>
      <c r="T44" t="n">
        <v>265870937.493502</v>
      </c>
      <c r="U44" t="n">
        <v>1304389.18632372</v>
      </c>
      <c r="V44" t="n">
        <v>447533.419689667</v>
      </c>
      <c r="W44" t="n">
        <v>44565900.7321413</v>
      </c>
      <c r="X44" t="n">
        <v>3322485.72992635</v>
      </c>
      <c r="Y44" t="n">
        <v>12617190.6984244</v>
      </c>
      <c r="Z44" t="n">
        <v>12835125.5001081</v>
      </c>
      <c r="AA44" t="n">
        <v>23413920.1671342</v>
      </c>
      <c r="AB44" t="n">
        <v>29989366.907035</v>
      </c>
      <c r="AC44" t="n">
        <v>10347975.101109</v>
      </c>
      <c r="AD44" t="n">
        <v>5309149.16574753</v>
      </c>
      <c r="AE44" t="n">
        <v>7918954.00471841</v>
      </c>
      <c r="AF44" t="n">
        <v>18372000.1821957</v>
      </c>
      <c r="AG44" t="n">
        <v>979730.803739959</v>
      </c>
      <c r="AH44" t="n">
        <v>3716432.53745194</v>
      </c>
      <c r="AI44" t="n">
        <v>48217.0103944246</v>
      </c>
      <c r="AJ44" t="n">
        <v>99002496.7779602</v>
      </c>
      <c r="AK44" t="n">
        <v>238424.019522665</v>
      </c>
      <c r="AL44" t="n">
        <v>145523.062619758</v>
      </c>
      <c r="AM44" t="n">
        <v>12485969.2224583</v>
      </c>
      <c r="AN44" t="n">
        <v>4497301.93712604</v>
      </c>
      <c r="AO44" t="n">
        <v>557466.275181342</v>
      </c>
      <c r="AP44" t="n">
        <v>102716.778255828</v>
      </c>
      <c r="AQ44" t="n">
        <v>1964605.11122028</v>
      </c>
      <c r="AR44" t="n">
        <v>968239.180005699</v>
      </c>
      <c r="AS44" t="n">
        <v>708214.246154039</v>
      </c>
      <c r="AT44" t="n">
        <v>173979.149692574</v>
      </c>
      <c r="AU44" t="n">
        <v>650809.65595153</v>
      </c>
      <c r="AV44" t="n">
        <v>49386.291084465</v>
      </c>
      <c r="AW44" t="n">
        <v>426566.673048287</v>
      </c>
      <c r="AX44" t="n">
        <v>1684334.3528402</v>
      </c>
      <c r="AY44" t="n">
        <v>1399624.49972443</v>
      </c>
      <c r="AZ44" t="n">
        <v>212458.760896537</v>
      </c>
      <c r="BA44" t="n">
        <v>919833.00389905</v>
      </c>
      <c r="BB44" t="n">
        <v>6521812.23531325</v>
      </c>
      <c r="BC44" t="n">
        <v>2464062.10860872</v>
      </c>
      <c r="BD44" t="n">
        <v>6108673.230664</v>
      </c>
      <c r="BE44" t="n">
        <v>2132168.47862971</v>
      </c>
      <c r="BF44" t="n">
        <v>852409.507758562</v>
      </c>
      <c r="BG44" t="n">
        <v>7357117.90113613</v>
      </c>
      <c r="BH44" t="n">
        <v>6849851.54103891</v>
      </c>
      <c r="BI44" t="n">
        <v>2123410.96003002</v>
      </c>
      <c r="BJ44" t="n">
        <v>4589731.31776233</v>
      </c>
      <c r="BK44" t="n">
        <v>234523.953609371</v>
      </c>
      <c r="BL44" t="n">
        <v>1333949.00653121</v>
      </c>
      <c r="BM44" t="n">
        <v>1455727.38669329</v>
      </c>
      <c r="BN44" t="n">
        <v>11980339.8614817</v>
      </c>
      <c r="BO44" t="n">
        <v>7525405.35523801</v>
      </c>
      <c r="BP44" t="n">
        <v>9876867.20051852</v>
      </c>
      <c r="BQ44" t="n">
        <v>2352563.06687775</v>
      </c>
      <c r="BR44" t="n">
        <v>3139967.63508285</v>
      </c>
      <c r="BS44" t="n">
        <v>27807396.2712846</v>
      </c>
      <c r="BT44" t="n">
        <v>4509323.19741074</v>
      </c>
      <c r="BU44" t="n">
        <v>232412823.316749</v>
      </c>
      <c r="BV44" t="n">
        <v>104309.459899588</v>
      </c>
      <c r="BW44" t="n">
        <v>208588395.027255</v>
      </c>
      <c r="BX44" t="n">
        <v>8020928.05461112</v>
      </c>
      <c r="BY44" t="n">
        <v>1760795.07579242</v>
      </c>
      <c r="BZ44" t="n">
        <v>26407678.2645791</v>
      </c>
      <c r="CA44" t="n">
        <v>573336946.338087</v>
      </c>
      <c r="CB44" t="n">
        <v>93235026.0777631</v>
      </c>
      <c r="CC44" t="n">
        <v>0</v>
      </c>
      <c r="CD44" t="n">
        <v>0</v>
      </c>
      <c r="CE44" t="n">
        <v>8237733.71626458</v>
      </c>
      <c r="CF44" t="n">
        <v>369449.875759745</v>
      </c>
      <c r="CG44" t="n">
        <v>0</v>
      </c>
      <c r="CH44" t="n">
        <v>0</v>
      </c>
      <c r="CI44" t="n">
        <v>0</v>
      </c>
      <c r="CJ44" t="n">
        <v>459316.061755358</v>
      </c>
      <c r="CK44" t="n">
        <v>0</v>
      </c>
      <c r="CL44" t="n">
        <v>0</v>
      </c>
      <c r="CM44" t="n">
        <v>3260401.74901547</v>
      </c>
      <c r="CN44" t="n">
        <v>299956.960909424</v>
      </c>
    </row>
    <row r="45">
      <c r="A45" t="s">
        <v>156</v>
      </c>
      <c r="B45" t="n">
        <v>0</v>
      </c>
      <c r="C45" t="n">
        <v>15272.3337923915</v>
      </c>
      <c r="D45" t="n">
        <v>1114.62203609099</v>
      </c>
      <c r="E45" t="n">
        <v>27288.9977903367</v>
      </c>
      <c r="F45" t="n">
        <v>653557.750191705</v>
      </c>
      <c r="G45" t="n">
        <v>11156537.4733602</v>
      </c>
      <c r="H45" t="n">
        <v>3266369.59197615</v>
      </c>
      <c r="I45" t="n">
        <v>1566804.2580458</v>
      </c>
      <c r="J45" t="n">
        <v>716750.22215645</v>
      </c>
      <c r="K45" t="n">
        <v>2527868.39061765</v>
      </c>
      <c r="L45" t="n">
        <v>2257595.14795721</v>
      </c>
      <c r="M45" t="n">
        <v>1296067.59029595</v>
      </c>
      <c r="N45" t="n">
        <v>21098.4851379073</v>
      </c>
      <c r="O45" t="n">
        <v>132374.48395117</v>
      </c>
      <c r="P45" t="n">
        <v>386362.090818166</v>
      </c>
      <c r="Q45" t="n">
        <v>242234.367050211</v>
      </c>
      <c r="R45" t="n">
        <v>378672.985797727</v>
      </c>
      <c r="S45" t="n">
        <v>215345.397320444</v>
      </c>
      <c r="T45" t="n">
        <v>3664551.82983429</v>
      </c>
      <c r="U45" t="n">
        <v>27575.2491354873</v>
      </c>
      <c r="V45" t="n">
        <v>6019.33673319506</v>
      </c>
      <c r="W45" t="n">
        <v>1791011.86306848</v>
      </c>
      <c r="X45" t="n">
        <v>678888.032386393</v>
      </c>
      <c r="Y45" t="n">
        <v>184074.500366466</v>
      </c>
      <c r="Z45" t="n">
        <v>402929.506668788</v>
      </c>
      <c r="AA45" t="n">
        <v>2473257.39080681</v>
      </c>
      <c r="AB45" t="n">
        <v>12728692.0338806</v>
      </c>
      <c r="AC45" t="n">
        <v>1085546.82672408</v>
      </c>
      <c r="AD45" t="n">
        <v>41426.2148894683</v>
      </c>
      <c r="AE45" t="n">
        <v>414108.325327703</v>
      </c>
      <c r="AF45" t="n">
        <v>872079.550006711</v>
      </c>
      <c r="AG45" t="n">
        <v>970.686826908914</v>
      </c>
      <c r="AH45" t="n">
        <v>5219962.7592777</v>
      </c>
      <c r="AI45" t="n">
        <v>0</v>
      </c>
      <c r="AJ45" t="n">
        <v>0</v>
      </c>
      <c r="AK45" t="n">
        <v>0</v>
      </c>
      <c r="AL45" t="n">
        <v>8594.41260376777</v>
      </c>
      <c r="AM45" t="n">
        <v>1055685.2506371</v>
      </c>
      <c r="AN45" t="n">
        <v>40635.1369769661</v>
      </c>
      <c r="AO45" t="n">
        <v>336830.384704146</v>
      </c>
      <c r="AP45" t="n">
        <v>158338.69783725</v>
      </c>
      <c r="AQ45" t="n">
        <v>1590175.0307535</v>
      </c>
      <c r="AR45" t="n">
        <v>2548635.69795402</v>
      </c>
      <c r="AS45" t="n">
        <v>23128872.3383269</v>
      </c>
      <c r="AT45" t="n">
        <v>3073108.98469699</v>
      </c>
      <c r="AU45" t="n">
        <v>5707472.7944542</v>
      </c>
      <c r="AV45" t="n">
        <v>681481.481481481</v>
      </c>
      <c r="AW45" t="n">
        <v>39574.0478246886</v>
      </c>
      <c r="AX45" t="n">
        <v>23679494.083992</v>
      </c>
      <c r="AY45" t="n">
        <v>4172948.81907649</v>
      </c>
      <c r="AZ45" t="n">
        <v>1851709.34132025</v>
      </c>
      <c r="BA45" t="n">
        <v>7904901.66765511</v>
      </c>
      <c r="BB45" t="n">
        <v>14432227.3413015</v>
      </c>
      <c r="BC45" t="n">
        <v>3635928.86272073</v>
      </c>
      <c r="BD45" t="n">
        <v>19232117.7914111</v>
      </c>
      <c r="BE45" t="n">
        <v>1835475.33594558</v>
      </c>
      <c r="BF45" t="n">
        <v>1736733.15351914</v>
      </c>
      <c r="BG45" t="n">
        <v>18911605.4778294</v>
      </c>
      <c r="BH45" t="n">
        <v>22924909.3284975</v>
      </c>
      <c r="BI45" t="n">
        <v>5375746.49450217</v>
      </c>
      <c r="BJ45" t="n">
        <v>2786102.4887001</v>
      </c>
      <c r="BK45" t="n">
        <v>5349132.08406579</v>
      </c>
      <c r="BL45" t="n">
        <v>322998.333454098</v>
      </c>
      <c r="BM45" t="n">
        <v>543914.379993944</v>
      </c>
      <c r="BN45" t="n">
        <v>8587839.21074213</v>
      </c>
      <c r="BO45" t="n">
        <v>2420774.94852092</v>
      </c>
      <c r="BP45" t="n">
        <v>153056.74687373</v>
      </c>
      <c r="BQ45" t="n">
        <v>38589.6926135562</v>
      </c>
      <c r="BR45" t="n">
        <v>106048.572163499</v>
      </c>
      <c r="BS45" t="n">
        <v>145453361.286611</v>
      </c>
      <c r="BT45" t="n">
        <v>4869276.37202164</v>
      </c>
      <c r="BU45" t="n">
        <v>283210689.053566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642755.190361572</v>
      </c>
      <c r="C46" t="n">
        <v>19377.6906831385</v>
      </c>
      <c r="D46" t="n">
        <v>1837951.0439159</v>
      </c>
      <c r="E46" t="n">
        <v>99718.7178080547</v>
      </c>
      <c r="F46" t="n">
        <v>53156.4516114823</v>
      </c>
      <c r="G46" t="n">
        <v>19475959.76785</v>
      </c>
      <c r="H46" t="n">
        <v>652760.878931397</v>
      </c>
      <c r="I46" t="n">
        <v>80761.5655128495</v>
      </c>
      <c r="J46" t="n">
        <v>17550.208383921</v>
      </c>
      <c r="K46" t="n">
        <v>120748.605455073</v>
      </c>
      <c r="L46" t="n">
        <v>57577.0738581692</v>
      </c>
      <c r="M46" t="n">
        <v>37587.7392198772</v>
      </c>
      <c r="N46" t="n">
        <v>669.24925234551</v>
      </c>
      <c r="O46" t="n">
        <v>16795.8076297662</v>
      </c>
      <c r="P46" t="n">
        <v>5534.74313003401</v>
      </c>
      <c r="Q46" t="n">
        <v>4852.88527332445</v>
      </c>
      <c r="R46" t="n">
        <v>10009.6685841062</v>
      </c>
      <c r="S46" t="n">
        <v>10322.1130957244</v>
      </c>
      <c r="T46" t="n">
        <v>221013.337323527</v>
      </c>
      <c r="U46" t="n">
        <v>6220.04504524861</v>
      </c>
      <c r="V46" t="n">
        <v>0</v>
      </c>
      <c r="W46" t="n">
        <v>180551.128678924</v>
      </c>
      <c r="X46" t="n">
        <v>20136.1549532827</v>
      </c>
      <c r="Y46" t="n">
        <v>17753337.9250463</v>
      </c>
      <c r="Z46" t="n">
        <v>344152.484527393</v>
      </c>
      <c r="AA46" t="n">
        <v>77965.0645145922</v>
      </c>
      <c r="AB46" t="n">
        <v>189165.893853191</v>
      </c>
      <c r="AC46" t="n">
        <v>36425.8573013614</v>
      </c>
      <c r="AD46" t="n">
        <v>15768.5994009886</v>
      </c>
      <c r="AE46" t="n">
        <v>18118.0967980839</v>
      </c>
      <c r="AF46" t="n">
        <v>50498.1372742561</v>
      </c>
      <c r="AG46" t="n">
        <v>135724.216155704</v>
      </c>
      <c r="AH46" t="n">
        <v>396544.761965092</v>
      </c>
      <c r="AI46" t="n">
        <v>8009.06198941215</v>
      </c>
      <c r="AJ46" t="n">
        <v>1546725.28389257</v>
      </c>
      <c r="AK46" t="n">
        <v>19101.2703402195</v>
      </c>
      <c r="AL46" t="n">
        <v>2726.16928268761</v>
      </c>
      <c r="AM46" t="n">
        <v>314348.213207065</v>
      </c>
      <c r="AN46" t="n">
        <v>127177.066970424</v>
      </c>
      <c r="AO46" t="n">
        <v>2713.48431130889</v>
      </c>
      <c r="AP46" t="n">
        <v>511.851546377969</v>
      </c>
      <c r="AQ46" t="n">
        <v>6316.05934533974</v>
      </c>
      <c r="AR46" t="n">
        <v>5818.48440276867</v>
      </c>
      <c r="AS46" t="n">
        <v>117637.5671746</v>
      </c>
      <c r="AT46" t="n">
        <v>27759.8524365741</v>
      </c>
      <c r="AU46" t="n">
        <v>2324.78294438225</v>
      </c>
      <c r="AV46" t="n">
        <v>10642.0991529857</v>
      </c>
      <c r="AW46" t="n">
        <v>6694.92664099649</v>
      </c>
      <c r="AX46" t="n">
        <v>84709.8044881019</v>
      </c>
      <c r="AY46" t="n">
        <v>35085.2250838682</v>
      </c>
      <c r="AZ46" t="n">
        <v>725.144269041328</v>
      </c>
      <c r="BA46" t="n">
        <v>19714.6313941937</v>
      </c>
      <c r="BB46" t="n">
        <v>22913.5622571468</v>
      </c>
      <c r="BC46" t="n">
        <v>56131.4445778935</v>
      </c>
      <c r="BD46" t="n">
        <v>177844.388275266</v>
      </c>
      <c r="BE46" t="n">
        <v>50505.6049685199</v>
      </c>
      <c r="BF46" t="n">
        <v>22665.4404531007</v>
      </c>
      <c r="BG46" t="n">
        <v>38208.97323481</v>
      </c>
      <c r="BH46" t="n">
        <v>49692.6838697234</v>
      </c>
      <c r="BI46" t="n">
        <v>30003.5243699822</v>
      </c>
      <c r="BJ46" t="n">
        <v>38331.7032216088</v>
      </c>
      <c r="BK46" t="n">
        <v>2743.34380565859</v>
      </c>
      <c r="BL46" t="n">
        <v>14411.3769958737</v>
      </c>
      <c r="BM46" t="n">
        <v>17642.2685521285</v>
      </c>
      <c r="BN46" t="n">
        <v>119365.191244251</v>
      </c>
      <c r="BO46" t="n">
        <v>81559.7000124932</v>
      </c>
      <c r="BP46" t="n">
        <v>178527.663643402</v>
      </c>
      <c r="BQ46" t="n">
        <v>29377.7940105823</v>
      </c>
      <c r="BR46" t="n">
        <v>648429.336399783</v>
      </c>
      <c r="BS46" t="n">
        <v>2916251.71330366</v>
      </c>
      <c r="BT46" t="n">
        <v>8048702.95144239</v>
      </c>
      <c r="BU46" t="n">
        <v>4248153.04348319</v>
      </c>
      <c r="BV46" t="n">
        <v>0</v>
      </c>
      <c r="BW46" t="n">
        <v>0</v>
      </c>
      <c r="BX46" t="n">
        <v>0</v>
      </c>
      <c r="BY46" t="n">
        <v>0</v>
      </c>
      <c r="BZ46" t="n">
        <v>5016652.38151875</v>
      </c>
      <c r="CA46" t="n">
        <v>22914036.0170535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565076.350318486</v>
      </c>
      <c r="D47" t="n">
        <v>23407.0627579108</v>
      </c>
      <c r="E47" t="n">
        <v>2887175.96621762</v>
      </c>
      <c r="F47" t="n">
        <v>33515.7820611131</v>
      </c>
      <c r="G47" t="n">
        <v>90768825.3179562</v>
      </c>
      <c r="H47" t="n">
        <v>0</v>
      </c>
      <c r="I47" t="n">
        <v>15961818.3788416</v>
      </c>
      <c r="J47" t="n">
        <v>5275030.14376545</v>
      </c>
      <c r="K47" t="n">
        <v>3985110.16873842</v>
      </c>
      <c r="L47" t="n">
        <v>1009678.23200096</v>
      </c>
      <c r="M47" t="n">
        <v>175894.887254451</v>
      </c>
      <c r="N47" t="n">
        <v>0</v>
      </c>
      <c r="O47" t="n">
        <v>37821.2811289056</v>
      </c>
      <c r="P47" t="n">
        <v>34274.0564435469</v>
      </c>
      <c r="Q47" t="n">
        <v>0</v>
      </c>
      <c r="R47" t="n">
        <v>1893364.92898864</v>
      </c>
      <c r="S47" t="n">
        <v>428298.068003994</v>
      </c>
      <c r="T47" t="n">
        <v>8347947.66616959</v>
      </c>
      <c r="U47" t="n">
        <v>174643.244524753</v>
      </c>
      <c r="V47" t="n">
        <v>0</v>
      </c>
      <c r="W47" t="n">
        <v>13861941.1319684</v>
      </c>
      <c r="X47" t="n">
        <v>3085854.69266542</v>
      </c>
      <c r="Y47" t="n">
        <v>3270390.28984421</v>
      </c>
      <c r="Z47" t="n">
        <v>615859.73377018</v>
      </c>
      <c r="AA47" t="n">
        <v>8218588.22410959</v>
      </c>
      <c r="AB47" t="n">
        <v>500418748.342066</v>
      </c>
      <c r="AC47" t="n">
        <v>17027833.6952257</v>
      </c>
      <c r="AD47" t="n">
        <v>11122938.6978222</v>
      </c>
      <c r="AE47" t="n">
        <v>7311153.88164771</v>
      </c>
      <c r="AF47" t="n">
        <v>75613394.003602</v>
      </c>
      <c r="AG47" t="n">
        <v>27368515.0846968</v>
      </c>
      <c r="AH47" t="n">
        <v>20763482.4405664</v>
      </c>
      <c r="AI47" t="n">
        <v>1589251.88478639</v>
      </c>
      <c r="AJ47" t="n">
        <v>865304250.034284</v>
      </c>
      <c r="AK47" t="n">
        <v>1814064.34040047</v>
      </c>
      <c r="AL47" t="n">
        <v>1963823.27996093</v>
      </c>
      <c r="AM47" t="n">
        <v>175640396.353107</v>
      </c>
      <c r="AN47" t="n">
        <v>38467929.6715279</v>
      </c>
      <c r="AO47" t="n">
        <v>1729597.29288558</v>
      </c>
      <c r="AP47" t="n">
        <v>1081140.6629397</v>
      </c>
      <c r="AQ47" t="n">
        <v>348455.745869462</v>
      </c>
      <c r="AR47" t="n">
        <v>7575356.62471454</v>
      </c>
      <c r="AS47" t="n">
        <v>5542953.88797834</v>
      </c>
      <c r="AT47" t="n">
        <v>7482498.65605849</v>
      </c>
      <c r="AU47" t="n">
        <v>311483.266471016</v>
      </c>
      <c r="AV47" t="n">
        <v>0</v>
      </c>
      <c r="AW47" t="n">
        <v>0</v>
      </c>
      <c r="AX47" t="n">
        <v>0</v>
      </c>
      <c r="AY47" t="n">
        <v>17843964.8799666</v>
      </c>
      <c r="AZ47" t="n">
        <v>1886000.25504841</v>
      </c>
      <c r="BA47" t="n">
        <v>3169082.20009597</v>
      </c>
      <c r="BB47" t="n">
        <v>26667264.7015498</v>
      </c>
      <c r="BC47" t="n">
        <v>7852500.35751093</v>
      </c>
      <c r="BD47" t="n">
        <v>15211844.5807771</v>
      </c>
      <c r="BE47" t="n">
        <v>12516614.9415084</v>
      </c>
      <c r="BF47" t="n">
        <v>1257063.9968329</v>
      </c>
      <c r="BG47" t="n">
        <v>16532597.78237</v>
      </c>
      <c r="BH47" t="n">
        <v>33472393.38479</v>
      </c>
      <c r="BI47" t="n">
        <v>2916460.708161</v>
      </c>
      <c r="BJ47" t="n">
        <v>10968180.5805152</v>
      </c>
      <c r="BK47" t="n">
        <v>1256202.80551424</v>
      </c>
      <c r="BL47" t="n">
        <v>2260988.33417868</v>
      </c>
      <c r="BM47" t="n">
        <v>474391.489318027</v>
      </c>
      <c r="BN47" t="n">
        <v>6356882.54566671</v>
      </c>
      <c r="BO47" t="n">
        <v>7576888.82192423</v>
      </c>
      <c r="BP47" t="n">
        <v>10740.8243420162</v>
      </c>
      <c r="BQ47" t="n">
        <v>1405767.37377955</v>
      </c>
      <c r="BR47" t="n">
        <v>6494212.56201235</v>
      </c>
      <c r="BS47" t="n">
        <v>6911373.39890364</v>
      </c>
      <c r="BT47" t="n">
        <v>15803538.9944016</v>
      </c>
      <c r="BU47" t="n">
        <v>91328481.8513611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73426487.5454852</v>
      </c>
      <c r="CB47" t="n">
        <v>23568082.2351563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3109812.65818388</v>
      </c>
      <c r="C48" t="n">
        <v>0</v>
      </c>
      <c r="D48" t="n">
        <v>2906.63581063432</v>
      </c>
      <c r="E48" t="n">
        <v>348695.755747168</v>
      </c>
      <c r="F48" t="n">
        <v>0</v>
      </c>
      <c r="G48" t="n">
        <v>3143473.53270029</v>
      </c>
      <c r="H48" t="n">
        <v>0</v>
      </c>
      <c r="I48" t="n">
        <v>12534061.009716</v>
      </c>
      <c r="J48" t="n">
        <v>4686394.60054596</v>
      </c>
      <c r="K48" t="n">
        <v>891859.348724821</v>
      </c>
      <c r="L48" t="n">
        <v>2938671.16138665</v>
      </c>
      <c r="M48" t="n">
        <v>1758299.27363667</v>
      </c>
      <c r="N48" t="n">
        <v>166585.910361054</v>
      </c>
      <c r="O48" t="n">
        <v>345197.208567746</v>
      </c>
      <c r="P48" t="n">
        <v>121878.493265949</v>
      </c>
      <c r="Q48" t="n">
        <v>229954.545805209</v>
      </c>
      <c r="R48" t="n">
        <v>342874.218980504</v>
      </c>
      <c r="S48" t="n">
        <v>487727.980957985</v>
      </c>
      <c r="T48" t="n">
        <v>26490160.1271431</v>
      </c>
      <c r="U48" t="n">
        <v>1214460.84785539</v>
      </c>
      <c r="V48" t="n">
        <v>368875.232817722</v>
      </c>
      <c r="W48" t="n">
        <v>27329768.5171028</v>
      </c>
      <c r="X48" t="n">
        <v>2467772.04243024</v>
      </c>
      <c r="Y48" t="n">
        <v>1737394.89211227</v>
      </c>
      <c r="Z48" t="n">
        <v>3801429.72833434</v>
      </c>
      <c r="AA48" t="n">
        <v>20690775.1148913</v>
      </c>
      <c r="AB48" t="n">
        <v>96934907.1447345</v>
      </c>
      <c r="AC48" t="n">
        <v>28234069.798139</v>
      </c>
      <c r="AD48" t="n">
        <v>18304825.0729153</v>
      </c>
      <c r="AE48" t="n">
        <v>25160047.2805091</v>
      </c>
      <c r="AF48" t="n">
        <v>60135240.3390306</v>
      </c>
      <c r="AG48" t="n">
        <v>64969.8107070881</v>
      </c>
      <c r="AH48" t="n">
        <v>7225.19381110553</v>
      </c>
      <c r="AI48" t="n">
        <v>155925.102326095</v>
      </c>
      <c r="AJ48" t="n">
        <v>48258023.4907421</v>
      </c>
      <c r="AK48" t="n">
        <v>176661.188678728</v>
      </c>
      <c r="AL48" t="n">
        <v>550959.866349299</v>
      </c>
      <c r="AM48" t="n">
        <v>2882900.40766214</v>
      </c>
      <c r="AN48" t="n">
        <v>20333612.8913789</v>
      </c>
      <c r="AO48" t="n">
        <v>248637.273194418</v>
      </c>
      <c r="AP48" t="n">
        <v>124923.464876096</v>
      </c>
      <c r="AQ48" t="n">
        <v>455541.596781723</v>
      </c>
      <c r="AR48" t="n">
        <v>1054799.9325304</v>
      </c>
      <c r="AS48" t="n">
        <v>0</v>
      </c>
      <c r="AT48" t="n">
        <v>0</v>
      </c>
      <c r="AU48" t="n">
        <v>35835.2185534869</v>
      </c>
      <c r="AV48" t="n">
        <v>0</v>
      </c>
      <c r="AW48" t="n">
        <v>2866.62555792353</v>
      </c>
      <c r="AX48" t="n">
        <v>589652.365241012</v>
      </c>
      <c r="AY48" t="n">
        <v>1307434.40340551</v>
      </c>
      <c r="AZ48" t="n">
        <v>221069.871392713</v>
      </c>
      <c r="BA48" t="n">
        <v>350317.557440159</v>
      </c>
      <c r="BB48" t="n">
        <v>1661346.47968068</v>
      </c>
      <c r="BC48" t="n">
        <v>66094.3078559365</v>
      </c>
      <c r="BD48" t="n">
        <v>30872890.3509963</v>
      </c>
      <c r="BE48" t="n">
        <v>1031613.03814378</v>
      </c>
      <c r="BF48" t="n">
        <v>267422.829975853</v>
      </c>
      <c r="BG48" t="n">
        <v>2313342.42595489</v>
      </c>
      <c r="BH48" t="n">
        <v>4496124.80491421</v>
      </c>
      <c r="BI48" t="n">
        <v>613224.053272703</v>
      </c>
      <c r="BJ48" t="n">
        <v>915470.745487743</v>
      </c>
      <c r="BK48" t="n">
        <v>236807.750354439</v>
      </c>
      <c r="BL48" t="n">
        <v>191290.022868407</v>
      </c>
      <c r="BM48" t="n">
        <v>1045124.36034058</v>
      </c>
      <c r="BN48" t="n">
        <v>3002326.43468722</v>
      </c>
      <c r="BO48" t="n">
        <v>2116132.67281159</v>
      </c>
      <c r="BP48" t="n">
        <v>508833.688110103</v>
      </c>
      <c r="BQ48" t="n">
        <v>3069263.35082315</v>
      </c>
      <c r="BR48" t="n">
        <v>0</v>
      </c>
      <c r="BS48" t="n">
        <v>21661261.9825841</v>
      </c>
      <c r="BT48" t="n">
        <v>231665.40973795</v>
      </c>
      <c r="BU48" t="n">
        <v>737569.994654623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1228074.77976434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241596.105337908</v>
      </c>
      <c r="C49" t="n">
        <v>0</v>
      </c>
      <c r="D49" t="n">
        <v>9205.21530328721</v>
      </c>
      <c r="E49" t="n">
        <v>1722.43360367232</v>
      </c>
      <c r="F49" t="n">
        <v>17411.0808116782</v>
      </c>
      <c r="G49" t="n">
        <v>1050471.95682865</v>
      </c>
      <c r="H49" t="n">
        <v>1522954.68733024</v>
      </c>
      <c r="I49" t="n">
        <v>179003.08600394</v>
      </c>
      <c r="J49" t="n">
        <v>1984.21118214053</v>
      </c>
      <c r="K49" t="n">
        <v>151751.978683957</v>
      </c>
      <c r="L49" t="n">
        <v>328825.341338507</v>
      </c>
      <c r="M49" t="n">
        <v>126615.388948762</v>
      </c>
      <c r="N49" t="n">
        <v>13410.5761407341</v>
      </c>
      <c r="O49" t="n">
        <v>5968.03206651962</v>
      </c>
      <c r="P49" t="n">
        <v>30648.9644940867</v>
      </c>
      <c r="Q49" t="n">
        <v>318900.640216816</v>
      </c>
      <c r="R49" t="n">
        <v>27806.665264708</v>
      </c>
      <c r="S49" t="n">
        <v>25173.7880666605</v>
      </c>
      <c r="T49" t="n">
        <v>57921.7703962221</v>
      </c>
      <c r="U49" t="n">
        <v>0</v>
      </c>
      <c r="V49" t="n">
        <v>0</v>
      </c>
      <c r="W49" t="n">
        <v>54199.9081149721</v>
      </c>
      <c r="X49" t="n">
        <v>128932.72822985</v>
      </c>
      <c r="Y49" t="n">
        <v>12749.9575987054</v>
      </c>
      <c r="Z49" t="n">
        <v>40668.068717639</v>
      </c>
      <c r="AA49" t="n">
        <v>38784.5122715881</v>
      </c>
      <c r="AB49" t="n">
        <v>9685696.18888794</v>
      </c>
      <c r="AC49" t="n">
        <v>1320005.21222823</v>
      </c>
      <c r="AD49" t="n">
        <v>188492.893529914</v>
      </c>
      <c r="AE49" t="n">
        <v>1123750.04699416</v>
      </c>
      <c r="AF49" t="n">
        <v>1639149.38690518</v>
      </c>
      <c r="AG49" t="n">
        <v>6484.81109024783</v>
      </c>
      <c r="AH49" t="n">
        <v>391774.088443625</v>
      </c>
      <c r="AI49" t="n">
        <v>0</v>
      </c>
      <c r="AJ49" t="n">
        <v>224255.106277668</v>
      </c>
      <c r="AK49" t="n">
        <v>11482.674327293</v>
      </c>
      <c r="AL49" t="n">
        <v>0</v>
      </c>
      <c r="AM49" t="n">
        <v>884340.184386694</v>
      </c>
      <c r="AN49" t="n">
        <v>306026.85500865</v>
      </c>
      <c r="AO49" t="n">
        <v>14351855.7756563</v>
      </c>
      <c r="AP49" t="n">
        <v>23713.9219381405</v>
      </c>
      <c r="AQ49" t="n">
        <v>559216.489574082</v>
      </c>
      <c r="AR49" t="n">
        <v>1621065.98889343</v>
      </c>
      <c r="AS49" t="n">
        <v>1124892.25259818</v>
      </c>
      <c r="AT49" t="n">
        <v>578369.731638841</v>
      </c>
      <c r="AU49" t="n">
        <v>931302.006239249</v>
      </c>
      <c r="AV49" t="n">
        <v>74178.0108242099</v>
      </c>
      <c r="AW49" t="n">
        <v>0</v>
      </c>
      <c r="AX49" t="n">
        <v>896196.736123244</v>
      </c>
      <c r="AY49" t="n">
        <v>1002301.42731659</v>
      </c>
      <c r="AZ49" t="n">
        <v>1155357.42507565</v>
      </c>
      <c r="BA49" t="n">
        <v>1181890.20391516</v>
      </c>
      <c r="BB49" t="n">
        <v>4851113.92344857</v>
      </c>
      <c r="BC49" t="n">
        <v>2498731.72488425</v>
      </c>
      <c r="BD49" t="n">
        <v>4966410.76552005</v>
      </c>
      <c r="BE49" t="n">
        <v>70575.0527907125</v>
      </c>
      <c r="BF49" t="n">
        <v>775763.552755584</v>
      </c>
      <c r="BG49" t="n">
        <v>4571200.87921349</v>
      </c>
      <c r="BH49" t="n">
        <v>4564464.27072331</v>
      </c>
      <c r="BI49" t="n">
        <v>351199.842204996</v>
      </c>
      <c r="BJ49" t="n">
        <v>3117390.46985588</v>
      </c>
      <c r="BK49" t="n">
        <v>41286.3745035205</v>
      </c>
      <c r="BL49" t="n">
        <v>90369.264346882</v>
      </c>
      <c r="BM49" t="n">
        <v>195119.129265899</v>
      </c>
      <c r="BN49" t="n">
        <v>392711.32595412</v>
      </c>
      <c r="BO49" t="n">
        <v>1304726.63594007</v>
      </c>
      <c r="BP49" t="n">
        <v>56216.0595266838</v>
      </c>
      <c r="BQ49" t="n">
        <v>2127390.62485338</v>
      </c>
      <c r="BR49" t="n">
        <v>59773.7932643652</v>
      </c>
      <c r="BS49" t="n">
        <v>27022874.9955944</v>
      </c>
      <c r="BT49" t="n">
        <v>527698.320891756</v>
      </c>
      <c r="BU49" t="n">
        <v>223554929.098482</v>
      </c>
      <c r="BV49" t="n">
        <v>0</v>
      </c>
      <c r="BW49" t="n">
        <v>0</v>
      </c>
      <c r="BX49" t="n">
        <v>106296573.52825</v>
      </c>
      <c r="BY49" t="n">
        <v>0</v>
      </c>
      <c r="BZ49" t="n">
        <v>844411.441632866</v>
      </c>
      <c r="CA49" t="n">
        <v>108260326.763215</v>
      </c>
      <c r="CB49" t="n">
        <v>-28162232.3366567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20438002.5052073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90688.2135151805</v>
      </c>
      <c r="AC50" t="n">
        <v>496373.370057293</v>
      </c>
      <c r="AD50" t="n">
        <v>325218.763676366</v>
      </c>
      <c r="AE50" t="n">
        <v>0</v>
      </c>
      <c r="AF50" t="n">
        <v>126316.976334609</v>
      </c>
      <c r="AG50" t="n">
        <v>2028.07981548105</v>
      </c>
      <c r="AH50" t="n">
        <v>0</v>
      </c>
      <c r="AI50" t="n">
        <v>0</v>
      </c>
      <c r="AJ50" t="n">
        <v>5482.76617435161</v>
      </c>
      <c r="AK50" t="n">
        <v>0</v>
      </c>
      <c r="AL50" t="n">
        <v>19820.2446262309</v>
      </c>
      <c r="AM50" t="n">
        <v>18447.2228811326</v>
      </c>
      <c r="AN50" t="n">
        <v>0</v>
      </c>
      <c r="AO50" t="n">
        <v>45364.2468158144</v>
      </c>
      <c r="AP50" t="n">
        <v>9527203.04833192</v>
      </c>
      <c r="AQ50" t="n">
        <v>30456900.4520192</v>
      </c>
      <c r="AR50" t="n">
        <v>100986.197269734</v>
      </c>
      <c r="AS50" t="n">
        <v>46757.8541671099</v>
      </c>
      <c r="AT50" t="n">
        <v>11222.963340562</v>
      </c>
      <c r="AU50" t="n">
        <v>0</v>
      </c>
      <c r="AV50" t="n">
        <v>0</v>
      </c>
      <c r="AW50" t="n">
        <v>0</v>
      </c>
      <c r="AX50" t="n">
        <v>47243.8127819485</v>
      </c>
      <c r="AY50" t="n">
        <v>417169.95002267</v>
      </c>
      <c r="AZ50" t="n">
        <v>5970.40398428754</v>
      </c>
      <c r="BA50" t="n">
        <v>29860.9495925227</v>
      </c>
      <c r="BB50" t="n">
        <v>1694389.55083076</v>
      </c>
      <c r="BC50" t="n">
        <v>834661.371240257</v>
      </c>
      <c r="BD50" t="n">
        <v>72457.6424090691</v>
      </c>
      <c r="BE50" t="n">
        <v>0</v>
      </c>
      <c r="BF50" t="n">
        <v>606250.69449055</v>
      </c>
      <c r="BG50" t="n">
        <v>88692.4907554677</v>
      </c>
      <c r="BH50" t="n">
        <v>29267.3565259992</v>
      </c>
      <c r="BI50" t="n">
        <v>1860152.8963694</v>
      </c>
      <c r="BJ50" t="n">
        <v>2499820.10371596</v>
      </c>
      <c r="BK50" t="n">
        <v>165237.080185625</v>
      </c>
      <c r="BL50" t="n">
        <v>60585.5921522227</v>
      </c>
      <c r="BM50" t="n">
        <v>1061673.49274199</v>
      </c>
      <c r="BN50" t="n">
        <v>5670290.47834361</v>
      </c>
      <c r="BO50" t="n">
        <v>436881.618861908</v>
      </c>
      <c r="BP50" t="n">
        <v>19098.141211365</v>
      </c>
      <c r="BQ50" t="n">
        <v>924937.806132914</v>
      </c>
      <c r="BR50" t="n">
        <v>52201.4882911945</v>
      </c>
      <c r="BS50" t="n">
        <v>913620.484223785</v>
      </c>
      <c r="BT50" t="n">
        <v>0</v>
      </c>
      <c r="BU50" t="n">
        <v>29770158.8336894</v>
      </c>
      <c r="BV50" t="n">
        <v>0</v>
      </c>
      <c r="BW50" t="n">
        <v>0</v>
      </c>
      <c r="BX50" t="n">
        <v>6773675.46398916</v>
      </c>
      <c r="BY50" t="n">
        <v>0</v>
      </c>
      <c r="BZ50" t="n">
        <v>-94390.7960415087</v>
      </c>
      <c r="CA50" t="n">
        <v>20919489.8303862</v>
      </c>
      <c r="CB50" t="n">
        <v>-34521351.2079048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3864564.77254046</v>
      </c>
      <c r="C51" t="n">
        <v>52862.1702770589</v>
      </c>
      <c r="D51" t="n">
        <v>262347.010311648</v>
      </c>
      <c r="E51" t="n">
        <v>423700.304459728</v>
      </c>
      <c r="F51" t="n">
        <v>1441817.03432762</v>
      </c>
      <c r="G51" t="n">
        <v>7525128.12351752</v>
      </c>
      <c r="H51" t="n">
        <v>15878972.3616575</v>
      </c>
      <c r="I51" t="n">
        <v>4624232.63017201</v>
      </c>
      <c r="J51" t="n">
        <v>2711016.41849074</v>
      </c>
      <c r="K51" t="n">
        <v>4470444.00131874</v>
      </c>
      <c r="L51" t="n">
        <v>6641932.11427562</v>
      </c>
      <c r="M51" t="n">
        <v>5072121.88709962</v>
      </c>
      <c r="N51" t="n">
        <v>144317.719678564</v>
      </c>
      <c r="O51" t="n">
        <v>677931.460422594</v>
      </c>
      <c r="P51" t="n">
        <v>745692.415608455</v>
      </c>
      <c r="Q51" t="n">
        <v>1979490.16242127</v>
      </c>
      <c r="R51" t="n">
        <v>784080.559194252</v>
      </c>
      <c r="S51" t="n">
        <v>558440.136852878</v>
      </c>
      <c r="T51" t="n">
        <v>12123635.7312776</v>
      </c>
      <c r="U51" t="n">
        <v>142411.916468105</v>
      </c>
      <c r="V51" t="n">
        <v>50598.6701218772</v>
      </c>
      <c r="W51" t="n">
        <v>4221787.67945409</v>
      </c>
      <c r="X51" t="n">
        <v>1953111.25886869</v>
      </c>
      <c r="Y51" t="n">
        <v>191141.269847395</v>
      </c>
      <c r="Z51" t="n">
        <v>897377.687984765</v>
      </c>
      <c r="AA51" t="n">
        <v>3478968.20260363</v>
      </c>
      <c r="AB51" t="n">
        <v>47609296.3882336</v>
      </c>
      <c r="AC51" t="n">
        <v>8326625.00373344</v>
      </c>
      <c r="AD51" t="n">
        <v>2642448.34127126</v>
      </c>
      <c r="AE51" t="n">
        <v>3106777.72132771</v>
      </c>
      <c r="AF51" t="n">
        <v>17474553.7101631</v>
      </c>
      <c r="AG51" t="n">
        <v>941246.172836523</v>
      </c>
      <c r="AH51" t="n">
        <v>854894.725701323</v>
      </c>
      <c r="AI51" t="n">
        <v>49979.2827600144</v>
      </c>
      <c r="AJ51" t="n">
        <v>13675766.3701107</v>
      </c>
      <c r="AK51" t="n">
        <v>1183614.87090498</v>
      </c>
      <c r="AL51" t="n">
        <v>1795519.80867965</v>
      </c>
      <c r="AM51" t="n">
        <v>3907506.06735309</v>
      </c>
      <c r="AN51" t="n">
        <v>1185482.86631224</v>
      </c>
      <c r="AO51" t="n">
        <v>1494351.70944328</v>
      </c>
      <c r="AP51" t="n">
        <v>536599.488804164</v>
      </c>
      <c r="AQ51" t="n">
        <v>128443330.904925</v>
      </c>
      <c r="AR51" t="n">
        <v>13749214.7582891</v>
      </c>
      <c r="AS51" t="n">
        <v>22111644.4243578</v>
      </c>
      <c r="AT51" t="n">
        <v>3858018.02987751</v>
      </c>
      <c r="AU51" t="n">
        <v>7311405.57570951</v>
      </c>
      <c r="AV51" t="n">
        <v>1483978.94591874</v>
      </c>
      <c r="AW51" t="n">
        <v>42397.8777265226</v>
      </c>
      <c r="AX51" t="n">
        <v>18862631.2472873</v>
      </c>
      <c r="AY51" t="n">
        <v>4470712.0831816</v>
      </c>
      <c r="AZ51" t="n">
        <v>4946881.01028608</v>
      </c>
      <c r="BA51" t="n">
        <v>3905585.59553132</v>
      </c>
      <c r="BB51" t="n">
        <v>15339826.6592468</v>
      </c>
      <c r="BC51" t="n">
        <v>13446384.6586507</v>
      </c>
      <c r="BD51" t="n">
        <v>35419872.7997931</v>
      </c>
      <c r="BE51" t="n">
        <v>3991212.64621821</v>
      </c>
      <c r="BF51" t="n">
        <v>3592093.80204144</v>
      </c>
      <c r="BG51" t="n">
        <v>21933841.0746126</v>
      </c>
      <c r="BH51" t="n">
        <v>9238938.12371846</v>
      </c>
      <c r="BI51" t="n">
        <v>5121430.8451083</v>
      </c>
      <c r="BJ51" t="n">
        <v>3298888.78892135</v>
      </c>
      <c r="BK51" t="n">
        <v>903403.725910627</v>
      </c>
      <c r="BL51" t="n">
        <v>2492233.7642279</v>
      </c>
      <c r="BM51" t="n">
        <v>8341504.61850628</v>
      </c>
      <c r="BN51" t="n">
        <v>19162237.9098467</v>
      </c>
      <c r="BO51" t="n">
        <v>19442953.1515325</v>
      </c>
      <c r="BP51" t="n">
        <v>8837591.77550462</v>
      </c>
      <c r="BQ51" t="n">
        <v>24945053.3762707</v>
      </c>
      <c r="BR51" t="n">
        <v>5106521.13294262</v>
      </c>
      <c r="BS51" t="n">
        <v>299712114.110585</v>
      </c>
      <c r="BT51" t="n">
        <v>4456946.88101799</v>
      </c>
      <c r="BU51" t="n">
        <v>1110816533.91044</v>
      </c>
      <c r="BV51" t="n">
        <v>0</v>
      </c>
      <c r="BW51" t="n">
        <v>9967417.99944987</v>
      </c>
      <c r="BX51" t="n">
        <v>44387779.6909748</v>
      </c>
      <c r="BY51" t="n">
        <v>0</v>
      </c>
      <c r="BZ51" t="n">
        <v>0</v>
      </c>
      <c r="CA51" t="n">
        <v>29789225.1772576</v>
      </c>
      <c r="CB51" t="n">
        <v>-910546.140276066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14266.8809240541</v>
      </c>
      <c r="E52" t="n">
        <v>13434.318795803</v>
      </c>
      <c r="F52" t="n">
        <v>29905.8008341223</v>
      </c>
      <c r="G52" t="n">
        <v>13093421.2432393</v>
      </c>
      <c r="H52" t="n">
        <v>2676853.98224845</v>
      </c>
      <c r="I52" t="n">
        <v>3670242.45957127</v>
      </c>
      <c r="J52" t="n">
        <v>1694824.79791807</v>
      </c>
      <c r="K52" t="n">
        <v>4897792.05775152</v>
      </c>
      <c r="L52" t="n">
        <v>5272738.43906068</v>
      </c>
      <c r="M52" t="n">
        <v>4220682.54512071</v>
      </c>
      <c r="N52" t="n">
        <v>45225.6051477498</v>
      </c>
      <c r="O52" t="n">
        <v>947404.609395211</v>
      </c>
      <c r="P52" t="n">
        <v>426475.96536227</v>
      </c>
      <c r="Q52" t="n">
        <v>2057284.63096566</v>
      </c>
      <c r="R52" t="n">
        <v>943872.520772764</v>
      </c>
      <c r="S52" t="n">
        <v>440584.366956352</v>
      </c>
      <c r="T52" t="n">
        <v>7043032.2031971</v>
      </c>
      <c r="U52" t="n">
        <v>92009.9583598955</v>
      </c>
      <c r="V52" t="n">
        <v>29633.073824963</v>
      </c>
      <c r="W52" t="n">
        <v>4922260.85417393</v>
      </c>
      <c r="X52" t="n">
        <v>646728.142609844</v>
      </c>
      <c r="Y52" t="n">
        <v>200118.077457969</v>
      </c>
      <c r="Z52" t="n">
        <v>487890.457124495</v>
      </c>
      <c r="AA52" t="n">
        <v>1705367.76417314</v>
      </c>
      <c r="AB52" t="n">
        <v>8414065.83939408</v>
      </c>
      <c r="AC52" t="n">
        <v>10518351.1215216</v>
      </c>
      <c r="AD52" t="n">
        <v>2687659.56816927</v>
      </c>
      <c r="AE52" t="n">
        <v>4757870.91907081</v>
      </c>
      <c r="AF52" t="n">
        <v>14550974.412242</v>
      </c>
      <c r="AG52" t="n">
        <v>198344.782592845</v>
      </c>
      <c r="AH52" t="n">
        <v>0</v>
      </c>
      <c r="AI52" t="n">
        <v>0</v>
      </c>
      <c r="AJ52" t="n">
        <v>806803.150760619</v>
      </c>
      <c r="AK52" t="n">
        <v>103781.225055023</v>
      </c>
      <c r="AL52" t="n">
        <v>55532.0332997432</v>
      </c>
      <c r="AM52" t="n">
        <v>1395786.96514303</v>
      </c>
      <c r="AN52" t="n">
        <v>378524.604229426</v>
      </c>
      <c r="AO52" t="n">
        <v>1286613.487949</v>
      </c>
      <c r="AP52" t="n">
        <v>59346.7699795573</v>
      </c>
      <c r="AQ52" t="n">
        <v>2637746.01678077</v>
      </c>
      <c r="AR52" t="n">
        <v>7564980.44493573</v>
      </c>
      <c r="AS52" t="n">
        <v>25548470.1926236</v>
      </c>
      <c r="AT52" t="n">
        <v>1961816.46104242</v>
      </c>
      <c r="AU52" t="n">
        <v>2989407.16091443</v>
      </c>
      <c r="AV52" t="n">
        <v>2098115.95770234</v>
      </c>
      <c r="AW52" t="n">
        <v>1623.51868752482</v>
      </c>
      <c r="AX52" t="n">
        <v>1144516.40875434</v>
      </c>
      <c r="AY52" t="n">
        <v>1334170.90426674</v>
      </c>
      <c r="AZ52" t="n">
        <v>3101553.32377978</v>
      </c>
      <c r="BA52" t="n">
        <v>3589531.47844675</v>
      </c>
      <c r="BB52" t="n">
        <v>13703673.6797785</v>
      </c>
      <c r="BC52" t="n">
        <v>5682106.88875925</v>
      </c>
      <c r="BD52" t="n">
        <v>49685936.4744699</v>
      </c>
      <c r="BE52" t="n">
        <v>3179727.85127986</v>
      </c>
      <c r="BF52" t="n">
        <v>4229915.39560645</v>
      </c>
      <c r="BG52" t="n">
        <v>3924940.2582632</v>
      </c>
      <c r="BH52" t="n">
        <v>6331796.94017132</v>
      </c>
      <c r="BI52" t="n">
        <v>727949.266021934</v>
      </c>
      <c r="BJ52" t="n">
        <v>1909437.68470478</v>
      </c>
      <c r="BK52" t="n">
        <v>651157.272942145</v>
      </c>
      <c r="BL52" t="n">
        <v>1321619.47068187</v>
      </c>
      <c r="BM52" t="n">
        <v>1115742.24666478</v>
      </c>
      <c r="BN52" t="n">
        <v>19390030.028021</v>
      </c>
      <c r="BO52" t="n">
        <v>13495588.3812122</v>
      </c>
      <c r="BP52" t="n">
        <v>1195719.41581283</v>
      </c>
      <c r="BQ52" t="n">
        <v>6145055.09117415</v>
      </c>
      <c r="BR52" t="n">
        <v>713502.487051577</v>
      </c>
      <c r="BS52" t="n">
        <v>69565606.9637027</v>
      </c>
      <c r="BT52" t="n">
        <v>3602870.06543785</v>
      </c>
      <c r="BU52" t="n">
        <v>109498104.832637</v>
      </c>
      <c r="BV52" t="n">
        <v>0</v>
      </c>
      <c r="BW52" t="n">
        <v>0</v>
      </c>
      <c r="BX52" t="n">
        <v>18796150.7223685</v>
      </c>
      <c r="BY52" t="n">
        <v>0</v>
      </c>
      <c r="BZ52" t="n">
        <v>0</v>
      </c>
      <c r="CA52" t="n">
        <v>11514909.383213</v>
      </c>
      <c r="CB52" t="n">
        <v>-7271477.99257667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124949972.170007</v>
      </c>
      <c r="CK52" t="n">
        <v>0</v>
      </c>
      <c r="CL52" t="n">
        <v>0</v>
      </c>
      <c r="CM52" t="n">
        <v>0</v>
      </c>
      <c r="CN52" t="n">
        <v>9375583.68236254</v>
      </c>
    </row>
    <row r="53">
      <c r="A53" t="s">
        <v>164</v>
      </c>
      <c r="B53" t="n">
        <v>7390453.50957784</v>
      </c>
      <c r="C53" t="n">
        <v>1119605.50237343</v>
      </c>
      <c r="D53" t="n">
        <v>551059.057037391</v>
      </c>
      <c r="E53" t="n">
        <v>862607.434283054</v>
      </c>
      <c r="F53" t="n">
        <v>651991.082712072</v>
      </c>
      <c r="G53" t="n">
        <v>14565386.862734</v>
      </c>
      <c r="H53" t="n">
        <v>9277117.35055265</v>
      </c>
      <c r="I53" t="n">
        <v>3671987.73579013</v>
      </c>
      <c r="J53" t="n">
        <v>1375697.5583474</v>
      </c>
      <c r="K53" t="n">
        <v>7148757.45333752</v>
      </c>
      <c r="L53" t="n">
        <v>4741293.3848532</v>
      </c>
      <c r="M53" t="n">
        <v>4497975.05884475</v>
      </c>
      <c r="N53" t="n">
        <v>605029.410940075</v>
      </c>
      <c r="O53" t="n">
        <v>2312104.3076904</v>
      </c>
      <c r="P53" t="n">
        <v>2196672.44391016</v>
      </c>
      <c r="Q53" t="n">
        <v>1100019.5650183</v>
      </c>
      <c r="R53" t="n">
        <v>834162.665782862</v>
      </c>
      <c r="S53" t="n">
        <v>810642.382192027</v>
      </c>
      <c r="T53" t="n">
        <v>15328017.2027676</v>
      </c>
      <c r="U53" t="n">
        <v>254597.029437402</v>
      </c>
      <c r="V53" t="n">
        <v>539937.005447032</v>
      </c>
      <c r="W53" t="n">
        <v>5478553.77275331</v>
      </c>
      <c r="X53" t="n">
        <v>1144441.24089863</v>
      </c>
      <c r="Y53" t="n">
        <v>963666.588688908</v>
      </c>
      <c r="Z53" t="n">
        <v>3197881.19470188</v>
      </c>
      <c r="AA53" t="n">
        <v>5968569.17295439</v>
      </c>
      <c r="AB53" t="n">
        <v>61597629.829973</v>
      </c>
      <c r="AC53" t="n">
        <v>7967653.43383068</v>
      </c>
      <c r="AD53" t="n">
        <v>3538804.40500476</v>
      </c>
      <c r="AE53" t="n">
        <v>8025279.08026423</v>
      </c>
      <c r="AF53" t="n">
        <v>13187258.6432988</v>
      </c>
      <c r="AG53" t="n">
        <v>332470.14863051</v>
      </c>
      <c r="AH53" t="n">
        <v>21668426.3431107</v>
      </c>
      <c r="AI53" t="n">
        <v>68213.9800690612</v>
      </c>
      <c r="AJ53" t="n">
        <v>7189013.21856141</v>
      </c>
      <c r="AK53" t="n">
        <v>1662439.15206779</v>
      </c>
      <c r="AL53" t="n">
        <v>1718972.2750605</v>
      </c>
      <c r="AM53" t="n">
        <v>2696172.08977639</v>
      </c>
      <c r="AN53" t="n">
        <v>497239.136118146</v>
      </c>
      <c r="AO53" t="n">
        <v>1383015.04651237</v>
      </c>
      <c r="AP53" t="n">
        <v>293170.062499483</v>
      </c>
      <c r="AQ53" t="n">
        <v>9856222.61579925</v>
      </c>
      <c r="AR53" t="n">
        <v>1396706.14212126</v>
      </c>
      <c r="AS53" t="n">
        <v>91668861.8511312</v>
      </c>
      <c r="AT53" t="n">
        <v>20345670.3818114</v>
      </c>
      <c r="AU53" t="n">
        <v>611653.845006038</v>
      </c>
      <c r="AV53" t="n">
        <v>1773975.35943236</v>
      </c>
      <c r="AW53" t="n">
        <v>165820781.520064</v>
      </c>
      <c r="AX53" t="n">
        <v>36180731.1930018</v>
      </c>
      <c r="AY53" t="n">
        <v>11288000.0628564</v>
      </c>
      <c r="AZ53" t="n">
        <v>1244648.86641037</v>
      </c>
      <c r="BA53" t="n">
        <v>2333137.29231384</v>
      </c>
      <c r="BB53" t="n">
        <v>9198314.24225155</v>
      </c>
      <c r="BC53" t="n">
        <v>80306220.4731943</v>
      </c>
      <c r="BD53" t="n">
        <v>8480474.47273477</v>
      </c>
      <c r="BE53" t="n">
        <v>1632491.06243652</v>
      </c>
      <c r="BF53" t="n">
        <v>1388374.11441316</v>
      </c>
      <c r="BG53" t="n">
        <v>9154394.21234899</v>
      </c>
      <c r="BH53" t="n">
        <v>9364539.74746102</v>
      </c>
      <c r="BI53" t="n">
        <v>1895844.04066286</v>
      </c>
      <c r="BJ53" t="n">
        <v>2046795.95209966</v>
      </c>
      <c r="BK53" t="n">
        <v>486038.634854345</v>
      </c>
      <c r="BL53" t="n">
        <v>1470684.28993819</v>
      </c>
      <c r="BM53" t="n">
        <v>5207671.00198198</v>
      </c>
      <c r="BN53" t="n">
        <v>11511505.6095177</v>
      </c>
      <c r="BO53" t="n">
        <v>15059657.6287139</v>
      </c>
      <c r="BP53" t="n">
        <v>0</v>
      </c>
      <c r="BQ53" t="n">
        <v>5762634.76964449</v>
      </c>
      <c r="BR53" t="n">
        <v>1513550.72778813</v>
      </c>
      <c r="BS53" t="n">
        <v>38607789.1439374</v>
      </c>
      <c r="BT53" t="n">
        <v>3524425.4646859</v>
      </c>
      <c r="BU53" t="n">
        <v>514344097.409956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343708481.375776</v>
      </c>
      <c r="CB53" t="n">
        <v>-48698487.6151878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783613.240621852</v>
      </c>
      <c r="C54" t="n">
        <v>27287.3461731689</v>
      </c>
      <c r="D54" t="n">
        <v>700349.338473973</v>
      </c>
      <c r="E54" t="n">
        <v>2704428.76425001</v>
      </c>
      <c r="F54" t="n">
        <v>9852039.65894515</v>
      </c>
      <c r="G54" t="n">
        <v>1920091.43619808</v>
      </c>
      <c r="H54" t="n">
        <v>1951920.9913677</v>
      </c>
      <c r="I54" t="n">
        <v>182254.986932501</v>
      </c>
      <c r="J54" t="n">
        <v>110463.713555329</v>
      </c>
      <c r="K54" t="n">
        <v>12321940.3243586</v>
      </c>
      <c r="L54" t="n">
        <v>6495503.49555892</v>
      </c>
      <c r="M54" t="n">
        <v>4572738.33943189</v>
      </c>
      <c r="N54" t="n">
        <v>35864.5381364947</v>
      </c>
      <c r="O54" t="n">
        <v>884118.61589244</v>
      </c>
      <c r="P54" t="n">
        <v>1567802.09283341</v>
      </c>
      <c r="Q54" t="n">
        <v>871303.563775833</v>
      </c>
      <c r="R54" t="n">
        <v>1216907.27953899</v>
      </c>
      <c r="S54" t="n">
        <v>564571.871082011</v>
      </c>
      <c r="T54" t="n">
        <v>523605.772558385</v>
      </c>
      <c r="U54" t="n">
        <v>5474.35337941518</v>
      </c>
      <c r="V54" t="n">
        <v>1792.4757211784</v>
      </c>
      <c r="W54" t="n">
        <v>138814.184472596</v>
      </c>
      <c r="X54" t="n">
        <v>63012.0069277979</v>
      </c>
      <c r="Y54" t="n">
        <v>32888.9132560421</v>
      </c>
      <c r="Z54" t="n">
        <v>23412.0716751097</v>
      </c>
      <c r="AA54" t="n">
        <v>324792.828155638</v>
      </c>
      <c r="AB54" t="n">
        <v>6700085.36784298</v>
      </c>
      <c r="AC54" t="n">
        <v>219069.383907791</v>
      </c>
      <c r="AD54" t="n">
        <v>487278.21090446</v>
      </c>
      <c r="AE54" t="n">
        <v>2449306.24560002</v>
      </c>
      <c r="AF54" t="n">
        <v>1019601.21158457</v>
      </c>
      <c r="AG54" t="n">
        <v>602209.64490909</v>
      </c>
      <c r="AH54" t="n">
        <v>2024723.42392873</v>
      </c>
      <c r="AI54" t="n">
        <v>117821.585559284</v>
      </c>
      <c r="AJ54" t="n">
        <v>2019648.77672545</v>
      </c>
      <c r="AK54" t="n">
        <v>1108074.32192876</v>
      </c>
      <c r="AL54" t="n">
        <v>123486.124231173</v>
      </c>
      <c r="AM54" t="n">
        <v>2762732.83636226</v>
      </c>
      <c r="AN54" t="n">
        <v>46385.5762627655</v>
      </c>
      <c r="AO54" t="n">
        <v>110652.227023779</v>
      </c>
      <c r="AP54" t="n">
        <v>192015.478978613</v>
      </c>
      <c r="AQ54" t="n">
        <v>132589.033175803</v>
      </c>
      <c r="AR54" t="n">
        <v>65652.9991747649</v>
      </c>
      <c r="AS54" t="n">
        <v>72876453.7771031</v>
      </c>
      <c r="AT54" t="n">
        <v>19102676.9923709</v>
      </c>
      <c r="AU54" t="n">
        <v>3506973.84569435</v>
      </c>
      <c r="AV54" t="n">
        <v>73662637.0376888</v>
      </c>
      <c r="AW54" t="n">
        <v>3928.20245035283</v>
      </c>
      <c r="AX54" t="n">
        <v>6253445.4555194</v>
      </c>
      <c r="AY54" t="n">
        <v>3036749.27363548</v>
      </c>
      <c r="AZ54" t="n">
        <v>393137.462150464</v>
      </c>
      <c r="BA54" t="n">
        <v>470408.626083248</v>
      </c>
      <c r="BB54" t="n">
        <v>2037592.09188674</v>
      </c>
      <c r="BC54" t="n">
        <v>35551022.9726494</v>
      </c>
      <c r="BD54" t="n">
        <v>1930051.66454814</v>
      </c>
      <c r="BE54" t="n">
        <v>79023.5160971033</v>
      </c>
      <c r="BF54" t="n">
        <v>1038290.89353816</v>
      </c>
      <c r="BG54" t="n">
        <v>2943595.51806488</v>
      </c>
      <c r="BH54" t="n">
        <v>21318679.0099028</v>
      </c>
      <c r="BI54" t="n">
        <v>767550.220957811</v>
      </c>
      <c r="BJ54" t="n">
        <v>5612720.28218387</v>
      </c>
      <c r="BK54" t="n">
        <v>580344.190821497</v>
      </c>
      <c r="BL54" t="n">
        <v>80329.8811034279</v>
      </c>
      <c r="BM54" t="n">
        <v>5843106.28551191</v>
      </c>
      <c r="BN54" t="n">
        <v>10452194.8079098</v>
      </c>
      <c r="BO54" t="n">
        <v>6796081.96214991</v>
      </c>
      <c r="BP54" t="n">
        <v>0</v>
      </c>
      <c r="BQ54" t="n">
        <v>6566.55994444195</v>
      </c>
      <c r="BR54" t="n">
        <v>25564.6054738653</v>
      </c>
      <c r="BS54" t="n">
        <v>54164127.7763525</v>
      </c>
      <c r="BT54" t="n">
        <v>3706517.96931166</v>
      </c>
      <c r="BU54" t="n">
        <v>589033011.966085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134534327.723417</v>
      </c>
      <c r="CB54" t="n">
        <v>-328137.802354784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6364106.91874253</v>
      </c>
      <c r="C55" t="n">
        <v>920561.475991153</v>
      </c>
      <c r="D55" t="n">
        <v>719031.258211393</v>
      </c>
      <c r="E55" t="n">
        <v>870705.639902012</v>
      </c>
      <c r="F55" t="n">
        <v>3817745.57292708</v>
      </c>
      <c r="G55" t="n">
        <v>4137178.90707959</v>
      </c>
      <c r="H55" t="n">
        <v>456310.631897826</v>
      </c>
      <c r="I55" t="n">
        <v>1125684.43776951</v>
      </c>
      <c r="J55" t="n">
        <v>1408989.74573288</v>
      </c>
      <c r="K55" t="n">
        <v>4250616.51142989</v>
      </c>
      <c r="L55" t="n">
        <v>2329536.10663679</v>
      </c>
      <c r="M55" t="n">
        <v>2976674.86074121</v>
      </c>
      <c r="N55" t="n">
        <v>54579.8587378342</v>
      </c>
      <c r="O55" t="n">
        <v>1644947.76266321</v>
      </c>
      <c r="P55" t="n">
        <v>2280498.82905673</v>
      </c>
      <c r="Q55" t="n">
        <v>1525179.74307449</v>
      </c>
      <c r="R55" t="n">
        <v>699307.069808748</v>
      </c>
      <c r="S55" t="n">
        <v>307027.735605305</v>
      </c>
      <c r="T55" t="n">
        <v>14883426.3868541</v>
      </c>
      <c r="U55" t="n">
        <v>177499.237710959</v>
      </c>
      <c r="V55" t="n">
        <v>74933.0269246874</v>
      </c>
      <c r="W55" t="n">
        <v>1950728.81280698</v>
      </c>
      <c r="X55" t="n">
        <v>137598.225980321</v>
      </c>
      <c r="Y55" t="n">
        <v>253616.90823048</v>
      </c>
      <c r="Z55" t="n">
        <v>1653142.72175221</v>
      </c>
      <c r="AA55" t="n">
        <v>2284813.53118011</v>
      </c>
      <c r="AB55" t="n">
        <v>68139506.4320054</v>
      </c>
      <c r="AC55" t="n">
        <v>6081505.35703027</v>
      </c>
      <c r="AD55" t="n">
        <v>1901650.96130723</v>
      </c>
      <c r="AE55" t="n">
        <v>4281579.93722349</v>
      </c>
      <c r="AF55" t="n">
        <v>9334723.0966867</v>
      </c>
      <c r="AG55" t="n">
        <v>179226.291987835</v>
      </c>
      <c r="AH55" t="n">
        <v>135206.387795159</v>
      </c>
      <c r="AI55" t="n">
        <v>70776.0813148598</v>
      </c>
      <c r="AJ55" t="n">
        <v>46202418.3669179</v>
      </c>
      <c r="AK55" t="n">
        <v>2979055.66369399</v>
      </c>
      <c r="AL55" t="n">
        <v>237578.217443368</v>
      </c>
      <c r="AM55" t="n">
        <v>4758129.63063857</v>
      </c>
      <c r="AN55" t="n">
        <v>3363085.56578449</v>
      </c>
      <c r="AO55" t="n">
        <v>128488.387834928</v>
      </c>
      <c r="AP55" t="n">
        <v>401650.350617601</v>
      </c>
      <c r="AQ55" t="n">
        <v>1005880.80847349</v>
      </c>
      <c r="AR55" t="n">
        <v>427522.586244702</v>
      </c>
      <c r="AS55" t="n">
        <v>4948521.36034549</v>
      </c>
      <c r="AT55" t="n">
        <v>3852496.52511983</v>
      </c>
      <c r="AU55" t="n">
        <v>452676217.835906</v>
      </c>
      <c r="AV55" t="n">
        <v>6791239.56219287</v>
      </c>
      <c r="AW55" t="n">
        <v>6513877.14461273</v>
      </c>
      <c r="AX55" t="n">
        <v>29909462.3897149</v>
      </c>
      <c r="AY55" t="n">
        <v>8198332.7275536</v>
      </c>
      <c r="AZ55" t="n">
        <v>1679094.68074536</v>
      </c>
      <c r="BA55" t="n">
        <v>1583301.09035054</v>
      </c>
      <c r="BB55" t="n">
        <v>7409738.71871672</v>
      </c>
      <c r="BC55" t="n">
        <v>901924.485268043</v>
      </c>
      <c r="BD55" t="n">
        <v>9065785.00510906</v>
      </c>
      <c r="BE55" t="n">
        <v>2109960.62684391</v>
      </c>
      <c r="BF55" t="n">
        <v>1461832.57239989</v>
      </c>
      <c r="BG55" t="n">
        <v>17806219.214864</v>
      </c>
      <c r="BH55" t="n">
        <v>20665021.5278612</v>
      </c>
      <c r="BI55" t="n">
        <v>5010038.99848169</v>
      </c>
      <c r="BJ55" t="n">
        <v>17871942.6584647</v>
      </c>
      <c r="BK55" t="n">
        <v>1082678.04649108</v>
      </c>
      <c r="BL55" t="n">
        <v>1139137.81700723</v>
      </c>
      <c r="BM55" t="n">
        <v>1269709.61691593</v>
      </c>
      <c r="BN55" t="n">
        <v>10304695.0897996</v>
      </c>
      <c r="BO55" t="n">
        <v>4593754.00378369</v>
      </c>
      <c r="BP55" t="n">
        <v>0</v>
      </c>
      <c r="BQ55" t="n">
        <v>1004243.29148726</v>
      </c>
      <c r="BR55" t="n">
        <v>3455091.04591344</v>
      </c>
      <c r="BS55" t="n">
        <v>5899969.02790756</v>
      </c>
      <c r="BT55" t="n">
        <v>10067628.6775081</v>
      </c>
      <c r="BU55" t="n">
        <v>447344348.227517</v>
      </c>
      <c r="BV55" t="n">
        <v>0</v>
      </c>
      <c r="BW55" t="n">
        <v>0</v>
      </c>
      <c r="BX55" t="n">
        <v>0</v>
      </c>
      <c r="BY55" t="n">
        <v>5660810.68572322</v>
      </c>
      <c r="BZ55" t="n">
        <v>0</v>
      </c>
      <c r="CA55" t="n">
        <v>87478019.0223628</v>
      </c>
      <c r="CB55" t="n">
        <v>-240546885.229781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7637773.96178776</v>
      </c>
      <c r="AV56" t="n">
        <v>11091180.5779306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501393.714006701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154950.947940409</v>
      </c>
      <c r="BR56" t="n">
        <v>0</v>
      </c>
      <c r="BS56" t="n">
        <v>4109406.61027584</v>
      </c>
      <c r="BT56" t="n">
        <v>0</v>
      </c>
      <c r="BU56" t="n">
        <v>629460668.655175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14424491787.964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33775358.3902493</v>
      </c>
      <c r="C58" t="n">
        <v>198540.33930109</v>
      </c>
      <c r="D58" t="n">
        <v>2126698.84486161</v>
      </c>
      <c r="E58" t="n">
        <v>1140680.10763607</v>
      </c>
      <c r="F58" t="n">
        <v>4650314.76097944</v>
      </c>
      <c r="G58" t="n">
        <v>92200510.2598798</v>
      </c>
      <c r="H58" t="n">
        <v>90136377.7455274</v>
      </c>
      <c r="I58" t="n">
        <v>17944805.0179308</v>
      </c>
      <c r="J58" t="n">
        <v>6903436.3502437</v>
      </c>
      <c r="K58" t="n">
        <v>13293613.7718364</v>
      </c>
      <c r="L58" t="n">
        <v>57336109.9385716</v>
      </c>
      <c r="M58" t="n">
        <v>19515074.8595991</v>
      </c>
      <c r="N58" t="n">
        <v>2747198.58566501</v>
      </c>
      <c r="O58" t="n">
        <v>6514715.674454</v>
      </c>
      <c r="P58" t="n">
        <v>5462038.26777616</v>
      </c>
      <c r="Q58" t="n">
        <v>7464643.25831045</v>
      </c>
      <c r="R58" t="n">
        <v>9529936.8092428</v>
      </c>
      <c r="S58" t="n">
        <v>4249482.50712343</v>
      </c>
      <c r="T58" t="n">
        <v>86141617.4528759</v>
      </c>
      <c r="U58" t="n">
        <v>1675962.3641235</v>
      </c>
      <c r="V58" t="n">
        <v>908919.846712455</v>
      </c>
      <c r="W58" t="n">
        <v>37954730.851602</v>
      </c>
      <c r="X58" t="n">
        <v>16099344.7680202</v>
      </c>
      <c r="Y58" t="n">
        <v>533816.051062751</v>
      </c>
      <c r="Z58" t="n">
        <v>14924770.9949837</v>
      </c>
      <c r="AA58" t="n">
        <v>43258961.5683974</v>
      </c>
      <c r="AB58" t="n">
        <v>733807492.64339</v>
      </c>
      <c r="AC58" t="n">
        <v>177240190.981496</v>
      </c>
      <c r="AD58" t="n">
        <v>181964648.901989</v>
      </c>
      <c r="AE58" t="n">
        <v>259474564.811368</v>
      </c>
      <c r="AF58" t="n">
        <v>630718365.55586</v>
      </c>
      <c r="AG58" t="n">
        <v>382450.609802112</v>
      </c>
      <c r="AH58" t="n">
        <v>3590802.407656</v>
      </c>
      <c r="AI58" t="n">
        <v>414292.157999871</v>
      </c>
      <c r="AJ58" t="n">
        <v>134428679.397631</v>
      </c>
      <c r="AK58" t="n">
        <v>4665382.06713781</v>
      </c>
      <c r="AL58" t="n">
        <v>1078598.78177285</v>
      </c>
      <c r="AM58" t="n">
        <v>45766701.6172151</v>
      </c>
      <c r="AN58" t="n">
        <v>63377268.6384081</v>
      </c>
      <c r="AO58" t="n">
        <v>10469811.1245539</v>
      </c>
      <c r="AP58" t="n">
        <v>3916109.32294295</v>
      </c>
      <c r="AQ58" t="n">
        <v>73703921.2949764</v>
      </c>
      <c r="AR58" t="n">
        <v>22034675.276498</v>
      </c>
      <c r="AS58" t="n">
        <v>130613327.991633</v>
      </c>
      <c r="AT58" t="n">
        <v>49322894.3124395</v>
      </c>
      <c r="AU58" t="n">
        <v>101341996.873599</v>
      </c>
      <c r="AV58" t="n">
        <v>2130940.17094017</v>
      </c>
      <c r="AW58" t="n">
        <v>33816023.8661964</v>
      </c>
      <c r="AX58" t="n">
        <v>605940245.923735</v>
      </c>
      <c r="AY58" t="n">
        <v>47071365.4441007</v>
      </c>
      <c r="AZ58" t="n">
        <v>58603171.5614132</v>
      </c>
      <c r="BA58" t="n">
        <v>28541162.1636835</v>
      </c>
      <c r="BB58" t="n">
        <v>186303651.297577</v>
      </c>
      <c r="BC58" t="n">
        <v>542416992.124897</v>
      </c>
      <c r="BD58" t="n">
        <v>227395345.276074</v>
      </c>
      <c r="BE58" t="n">
        <v>23735865.7901397</v>
      </c>
      <c r="BF58" t="n">
        <v>116354505.159483</v>
      </c>
      <c r="BG58" t="n">
        <v>390315360.668021</v>
      </c>
      <c r="BH58" t="n">
        <v>525956167.186059</v>
      </c>
      <c r="BI58" t="n">
        <v>224094534.954101</v>
      </c>
      <c r="BJ58" t="n">
        <v>106887311.441486</v>
      </c>
      <c r="BK58" t="n">
        <v>32762893.4801329</v>
      </c>
      <c r="BL58" t="n">
        <v>70832469.6968129</v>
      </c>
      <c r="BM58" t="n">
        <v>12321909.9768553</v>
      </c>
      <c r="BN58" t="n">
        <v>390571970.614996</v>
      </c>
      <c r="BO58" t="n">
        <v>432928929.988449</v>
      </c>
      <c r="BP58" t="n">
        <v>776024.558710668</v>
      </c>
      <c r="BQ58" t="n">
        <v>69764651.4320791</v>
      </c>
      <c r="BR58" t="n">
        <v>3166307.36888161</v>
      </c>
      <c r="BS58" t="n">
        <v>191574883.420019</v>
      </c>
      <c r="BT58" t="n">
        <v>11467289.9175421</v>
      </c>
      <c r="BU58" t="n">
        <v>41899113.8782596</v>
      </c>
      <c r="BV58" t="n">
        <v>112928903.847347</v>
      </c>
      <c r="BW58" t="n">
        <v>0</v>
      </c>
      <c r="BX58" t="n">
        <v>0</v>
      </c>
      <c r="BY58" t="n">
        <v>889327309.539485</v>
      </c>
      <c r="BZ58" t="n">
        <v>0</v>
      </c>
      <c r="CA58" t="n">
        <v>10049021.3987498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7194077.52850035</v>
      </c>
      <c r="C59" t="n">
        <v>270839.346297098</v>
      </c>
      <c r="D59" t="n">
        <v>1601101.97471346</v>
      </c>
      <c r="E59" t="n">
        <v>4837698.54933209</v>
      </c>
      <c r="F59" t="n">
        <v>8199099.71651513</v>
      </c>
      <c r="G59" t="n">
        <v>8244864.21482755</v>
      </c>
      <c r="H59" t="n">
        <v>46315482.4623603</v>
      </c>
      <c r="I59" t="n">
        <v>1922670.0996946</v>
      </c>
      <c r="J59" t="n">
        <v>1459436.76342142</v>
      </c>
      <c r="K59" t="n">
        <v>5688408.73608678</v>
      </c>
      <c r="L59" t="n">
        <v>6323011.57570598</v>
      </c>
      <c r="M59" t="n">
        <v>4283198.02339229</v>
      </c>
      <c r="N59" t="n">
        <v>151724.200361748</v>
      </c>
      <c r="O59" t="n">
        <v>1131843.4624196</v>
      </c>
      <c r="P59" t="n">
        <v>5238462.87304503</v>
      </c>
      <c r="Q59" t="n">
        <v>1592749.53825857</v>
      </c>
      <c r="R59" t="n">
        <v>604584.17468739</v>
      </c>
      <c r="S59" t="n">
        <v>567535.751169625</v>
      </c>
      <c r="T59" t="n">
        <v>17547768.4029434</v>
      </c>
      <c r="U59" t="n">
        <v>73740.9706947975</v>
      </c>
      <c r="V59" t="n">
        <v>3343463.2252654</v>
      </c>
      <c r="W59" t="n">
        <v>6596318.46798554</v>
      </c>
      <c r="X59" t="n">
        <v>1197796.50726291</v>
      </c>
      <c r="Y59" t="n">
        <v>1101726.40174638</v>
      </c>
      <c r="Z59" t="n">
        <v>3712820.740807</v>
      </c>
      <c r="AA59" t="n">
        <v>4456123.67427936</v>
      </c>
      <c r="AB59" t="n">
        <v>59902535.2872605</v>
      </c>
      <c r="AC59" t="n">
        <v>2255807.39860988</v>
      </c>
      <c r="AD59" t="n">
        <v>2238939.10828681</v>
      </c>
      <c r="AE59" t="n">
        <v>12584834.0368774</v>
      </c>
      <c r="AF59" t="n">
        <v>11093084.2484919</v>
      </c>
      <c r="AG59" t="n">
        <v>4263882.51748364</v>
      </c>
      <c r="AH59" t="n">
        <v>34893021.5579925</v>
      </c>
      <c r="AI59" t="n">
        <v>1060459.1295723</v>
      </c>
      <c r="AJ59" t="n">
        <v>133190172.498946</v>
      </c>
      <c r="AK59" t="n">
        <v>804264.768524946</v>
      </c>
      <c r="AL59" t="n">
        <v>56474.5297226625</v>
      </c>
      <c r="AM59" t="n">
        <v>5209866.09483852</v>
      </c>
      <c r="AN59" t="n">
        <v>10077997.4737641</v>
      </c>
      <c r="AO59" t="n">
        <v>695451.112878089</v>
      </c>
      <c r="AP59" t="n">
        <v>423495.951682181</v>
      </c>
      <c r="AQ59" t="n">
        <v>7227818.73892787</v>
      </c>
      <c r="AR59" t="n">
        <v>5235801.65916047</v>
      </c>
      <c r="AS59" t="n">
        <v>6299941.67402564</v>
      </c>
      <c r="AT59" t="n">
        <v>3346995.70723852</v>
      </c>
      <c r="AU59" t="n">
        <v>4833359.76955155</v>
      </c>
      <c r="AV59" t="n">
        <v>24901.2006660029</v>
      </c>
      <c r="AW59" t="n">
        <v>10186624.605128</v>
      </c>
      <c r="AX59" t="n">
        <v>2890115.24314331</v>
      </c>
      <c r="AY59" t="n">
        <v>13798611.3168625</v>
      </c>
      <c r="AZ59" t="n">
        <v>1692223.57310341</v>
      </c>
      <c r="BA59" t="n">
        <v>3041492.01836398</v>
      </c>
      <c r="BB59" t="n">
        <v>15369608.164731</v>
      </c>
      <c r="BC59" t="n">
        <v>75731026.6456629</v>
      </c>
      <c r="BD59" t="n">
        <v>16707294.3778162</v>
      </c>
      <c r="BE59" t="n">
        <v>5880248.71860894</v>
      </c>
      <c r="BF59" t="n">
        <v>1631100.52118858</v>
      </c>
      <c r="BG59" t="n">
        <v>9453013.50538581</v>
      </c>
      <c r="BH59" t="n">
        <v>8480840.2049851</v>
      </c>
      <c r="BI59" t="n">
        <v>1280530.99017206</v>
      </c>
      <c r="BJ59" t="n">
        <v>1227776.46018635</v>
      </c>
      <c r="BK59" t="n">
        <v>1454308.22883813</v>
      </c>
      <c r="BL59" t="n">
        <v>2711156.04705654</v>
      </c>
      <c r="BM59" t="n">
        <v>2671753.88949189</v>
      </c>
      <c r="BN59" t="n">
        <v>21328931.7026655</v>
      </c>
      <c r="BO59" t="n">
        <v>5959610.90812737</v>
      </c>
      <c r="BP59" t="n">
        <v>331635.147762786</v>
      </c>
      <c r="BQ59" t="n">
        <v>556906.497276428</v>
      </c>
      <c r="BR59" t="n">
        <v>323039.197510016</v>
      </c>
      <c r="BS59" t="n">
        <v>22568708.7841325</v>
      </c>
      <c r="BT59" t="n">
        <v>918505.436474676</v>
      </c>
      <c r="BU59" t="n">
        <v>205102752.87176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375798461.133491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1760349.95237251</v>
      </c>
      <c r="C60" t="n">
        <v>338732.402017344</v>
      </c>
      <c r="D60" t="n">
        <v>501845.833117585</v>
      </c>
      <c r="E60" t="n">
        <v>1402206.12074841</v>
      </c>
      <c r="F60" t="n">
        <v>1020894.14228585</v>
      </c>
      <c r="G60" t="n">
        <v>35523786.264155</v>
      </c>
      <c r="H60" t="n">
        <v>15851585.3445429</v>
      </c>
      <c r="I60" t="n">
        <v>4800442.53659748</v>
      </c>
      <c r="J60" t="n">
        <v>1437766.64038264</v>
      </c>
      <c r="K60" t="n">
        <v>6225188.04419144</v>
      </c>
      <c r="L60" t="n">
        <v>9867912.9112849</v>
      </c>
      <c r="M60" t="n">
        <v>6725775.82804822</v>
      </c>
      <c r="N60" t="n">
        <v>1279892.61869546</v>
      </c>
      <c r="O60" t="n">
        <v>1239373.80813093</v>
      </c>
      <c r="P60" t="n">
        <v>3461056.96670486</v>
      </c>
      <c r="Q60" t="n">
        <v>3335869.95554136</v>
      </c>
      <c r="R60" t="n">
        <v>1060059.18994248</v>
      </c>
      <c r="S60" t="n">
        <v>1896286.24903301</v>
      </c>
      <c r="T60" t="n">
        <v>10342596.9434804</v>
      </c>
      <c r="U60" t="n">
        <v>213782.731508348</v>
      </c>
      <c r="V60" t="n">
        <v>221329.725019503</v>
      </c>
      <c r="W60" t="n">
        <v>8836493.86730153</v>
      </c>
      <c r="X60" t="n">
        <v>1338253.1476459</v>
      </c>
      <c r="Y60" t="n">
        <v>1073194.12586019</v>
      </c>
      <c r="Z60" t="n">
        <v>6588834.23108619</v>
      </c>
      <c r="AA60" t="n">
        <v>7901597.15634516</v>
      </c>
      <c r="AB60" t="n">
        <v>69541666.9234498</v>
      </c>
      <c r="AC60" t="n">
        <v>2714507.55386295</v>
      </c>
      <c r="AD60" t="n">
        <v>2323844.51681753</v>
      </c>
      <c r="AE60" t="n">
        <v>4603707.86591887</v>
      </c>
      <c r="AF60" t="n">
        <v>13342973.6634688</v>
      </c>
      <c r="AG60" t="n">
        <v>223345.826036901</v>
      </c>
      <c r="AH60" t="n">
        <v>8534243.10223651</v>
      </c>
      <c r="AI60" t="n">
        <v>50274.7634500078</v>
      </c>
      <c r="AJ60" t="n">
        <v>2017843.96415984</v>
      </c>
      <c r="AK60" t="n">
        <v>211500.291877023</v>
      </c>
      <c r="AL60" t="n">
        <v>112374.961341595</v>
      </c>
      <c r="AM60" t="n">
        <v>2068581.09105767</v>
      </c>
      <c r="AN60" t="n">
        <v>1116825.23585942</v>
      </c>
      <c r="AO60" t="n">
        <v>2790793.94334904</v>
      </c>
      <c r="AP60" t="n">
        <v>563428.902375036</v>
      </c>
      <c r="AQ60" t="n">
        <v>4402668.00879902</v>
      </c>
      <c r="AR60" t="n">
        <v>5529430.06199796</v>
      </c>
      <c r="AS60" t="n">
        <v>13440828.5672966</v>
      </c>
      <c r="AT60" t="n">
        <v>9437337.82767109</v>
      </c>
      <c r="AU60" t="n">
        <v>29267030.9731831</v>
      </c>
      <c r="AV60" t="n">
        <v>3084514.21941607</v>
      </c>
      <c r="AW60" t="n">
        <v>4751480.82110993</v>
      </c>
      <c r="AX60" t="n">
        <v>19047799.4142606</v>
      </c>
      <c r="AY60" t="n">
        <v>1951440.92407596</v>
      </c>
      <c r="AZ60" t="n">
        <v>3615166.20202182</v>
      </c>
      <c r="BA60" t="n">
        <v>6553478.93211448</v>
      </c>
      <c r="BB60" t="n">
        <v>22024521.5619776</v>
      </c>
      <c r="BC60" t="n">
        <v>75067791.370913</v>
      </c>
      <c r="BD60" t="n">
        <v>23068310.6354722</v>
      </c>
      <c r="BE60" t="n">
        <v>1775449.29220205</v>
      </c>
      <c r="BF60" t="n">
        <v>698681.514706315</v>
      </c>
      <c r="BG60" t="n">
        <v>17515933.8836104</v>
      </c>
      <c r="BH60" t="n">
        <v>58551489.8206687</v>
      </c>
      <c r="BI60" t="n">
        <v>6181991.52350323</v>
      </c>
      <c r="BJ60" t="n">
        <v>3363137.02462432</v>
      </c>
      <c r="BK60" t="n">
        <v>2418750.16742542</v>
      </c>
      <c r="BL60" t="n">
        <v>3469108.55086022</v>
      </c>
      <c r="BM60" t="n">
        <v>2554657.06374916</v>
      </c>
      <c r="BN60" t="n">
        <v>7542970.82738109</v>
      </c>
      <c r="BO60" t="n">
        <v>15455188.834919</v>
      </c>
      <c r="BP60" t="n">
        <v>0</v>
      </c>
      <c r="BQ60" t="n">
        <v>324976.287709555</v>
      </c>
      <c r="BR60" t="n">
        <v>207075.905957849</v>
      </c>
      <c r="BS60" t="n">
        <v>54729246.1422517</v>
      </c>
      <c r="BT60" t="n">
        <v>3009325.82526519</v>
      </c>
      <c r="BU60" t="n">
        <v>327762749.918612</v>
      </c>
      <c r="BV60" t="n">
        <v>0</v>
      </c>
      <c r="BW60" t="n">
        <v>0</v>
      </c>
      <c r="BX60" t="n">
        <v>0</v>
      </c>
      <c r="BY60" t="n">
        <v>68833303.3148234</v>
      </c>
      <c r="BZ60" t="n">
        <v>0</v>
      </c>
      <c r="CA60" t="n">
        <v>45830431.3544287</v>
      </c>
      <c r="CB60" t="n">
        <v>-28691016.0108195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3553377.65244892</v>
      </c>
      <c r="C61" t="n">
        <v>183476.001073748</v>
      </c>
      <c r="D61" t="n">
        <v>3255948.47674481</v>
      </c>
      <c r="E61" t="n">
        <v>2461162.79322562</v>
      </c>
      <c r="F61" t="n">
        <v>486828.279306457</v>
      </c>
      <c r="G61" t="n">
        <v>20538262.9480913</v>
      </c>
      <c r="H61" t="n">
        <v>22366429.2631624</v>
      </c>
      <c r="I61" t="n">
        <v>5780666.3834863</v>
      </c>
      <c r="J61" t="n">
        <v>1918002.21884702</v>
      </c>
      <c r="K61" t="n">
        <v>7573079.20245594</v>
      </c>
      <c r="L61" t="n">
        <v>14244895.8047983</v>
      </c>
      <c r="M61" t="n">
        <v>15131642.408912</v>
      </c>
      <c r="N61" t="n">
        <v>319415.248718754</v>
      </c>
      <c r="O61" t="n">
        <v>878987.41814599</v>
      </c>
      <c r="P61" t="n">
        <v>1633436.65716091</v>
      </c>
      <c r="Q61" t="n">
        <v>10086029.3025389</v>
      </c>
      <c r="R61" t="n">
        <v>1510204.81544456</v>
      </c>
      <c r="S61" t="n">
        <v>952359.766959126</v>
      </c>
      <c r="T61" t="n">
        <v>17576244.9456589</v>
      </c>
      <c r="U61" t="n">
        <v>232904.077838511</v>
      </c>
      <c r="V61" t="n">
        <v>48637.3466307613</v>
      </c>
      <c r="W61" t="n">
        <v>6305493.37683593</v>
      </c>
      <c r="X61" t="n">
        <v>2767813.02699137</v>
      </c>
      <c r="Y61" t="n">
        <v>1646279.06783137</v>
      </c>
      <c r="Z61" t="n">
        <v>998633.8785669</v>
      </c>
      <c r="AA61" t="n">
        <v>7106355.30921856</v>
      </c>
      <c r="AB61" t="n">
        <v>129527441.284476</v>
      </c>
      <c r="AC61" t="n">
        <v>28994766.8133643</v>
      </c>
      <c r="AD61" t="n">
        <v>4812827.12322084</v>
      </c>
      <c r="AE61" t="n">
        <v>18674910.1570913</v>
      </c>
      <c r="AF61" t="n">
        <v>27305353.173521</v>
      </c>
      <c r="AG61" t="n">
        <v>382394.912775928</v>
      </c>
      <c r="AH61" t="n">
        <v>17949339.1770924</v>
      </c>
      <c r="AI61" t="n">
        <v>27625.4482484766</v>
      </c>
      <c r="AJ61" t="n">
        <v>10195983.6736978</v>
      </c>
      <c r="AK61" t="n">
        <v>478623.14350123</v>
      </c>
      <c r="AL61" t="n">
        <v>34263.8915552516</v>
      </c>
      <c r="AM61" t="n">
        <v>1320389.31518814</v>
      </c>
      <c r="AN61" t="n">
        <v>1817065.30415789</v>
      </c>
      <c r="AO61" t="n">
        <v>7678310.11861294</v>
      </c>
      <c r="AP61" t="n">
        <v>610267.174943628</v>
      </c>
      <c r="AQ61" t="n">
        <v>8696551.75498259</v>
      </c>
      <c r="AR61" t="n">
        <v>17920797.994975</v>
      </c>
      <c r="AS61" t="n">
        <v>31538073.2747925</v>
      </c>
      <c r="AT61" t="n">
        <v>11496166.223664</v>
      </c>
      <c r="AU61" t="n">
        <v>25330170.2571106</v>
      </c>
      <c r="AV61" t="n">
        <v>2986706.63349502</v>
      </c>
      <c r="AW61" t="n">
        <v>3458150.09878533</v>
      </c>
      <c r="AX61" t="n">
        <v>10140892.7059267</v>
      </c>
      <c r="AY61" t="n">
        <v>2234116.26953937</v>
      </c>
      <c r="AZ61" t="n">
        <v>8977910.08720267</v>
      </c>
      <c r="BA61" t="n">
        <v>18561730.927856</v>
      </c>
      <c r="BB61" t="n">
        <v>26286300.5063121</v>
      </c>
      <c r="BC61" t="n">
        <v>24834578.7710672</v>
      </c>
      <c r="BD61" t="n">
        <v>75214471.7003028</v>
      </c>
      <c r="BE61" t="n">
        <v>3248106.07255079</v>
      </c>
      <c r="BF61" t="n">
        <v>4487026.02479523</v>
      </c>
      <c r="BG61" t="n">
        <v>25173199.0276421</v>
      </c>
      <c r="BH61" t="n">
        <v>27076642.2587929</v>
      </c>
      <c r="BI61" t="n">
        <v>6559194.32325659</v>
      </c>
      <c r="BJ61" t="n">
        <v>11688475.8180294</v>
      </c>
      <c r="BK61" t="n">
        <v>906793.530412616</v>
      </c>
      <c r="BL61" t="n">
        <v>3267873.49163863</v>
      </c>
      <c r="BM61" t="n">
        <v>3563090.89680387</v>
      </c>
      <c r="BN61" t="n">
        <v>27871401.9143765</v>
      </c>
      <c r="BO61" t="n">
        <v>18492510.1445883</v>
      </c>
      <c r="BP61" t="n">
        <v>11554676.5338599</v>
      </c>
      <c r="BQ61" t="n">
        <v>51485978.7228114</v>
      </c>
      <c r="BR61" t="n">
        <v>545270.56794952</v>
      </c>
      <c r="BS61" t="n">
        <v>223412818.260505</v>
      </c>
      <c r="BT61" t="n">
        <v>19460409.1275549</v>
      </c>
      <c r="BU61" t="n">
        <v>0</v>
      </c>
      <c r="BV61" t="n">
        <v>0</v>
      </c>
      <c r="BW61" t="n">
        <v>116043861.298124</v>
      </c>
      <c r="BX61" t="n">
        <v>644686221.083069</v>
      </c>
      <c r="BY61" t="n">
        <v>0</v>
      </c>
      <c r="BZ61" t="n">
        <v>0</v>
      </c>
      <c r="CA61" t="n">
        <v>126578540.257694</v>
      </c>
      <c r="CB61" t="n">
        <v>-151569992.364661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6885459.6174791</v>
      </c>
      <c r="CN61" t="n">
        <v>45665650.4559788</v>
      </c>
    </row>
    <row r="62">
      <c r="A62" t="s">
        <v>173</v>
      </c>
      <c r="B62" t="n">
        <v>4014100.54525171</v>
      </c>
      <c r="C62" t="n">
        <v>736265.377935712</v>
      </c>
      <c r="D62" t="n">
        <v>768815.274396535</v>
      </c>
      <c r="E62" t="n">
        <v>2041455.067493</v>
      </c>
      <c r="F62" t="n">
        <v>2243306.0666802</v>
      </c>
      <c r="G62" t="n">
        <v>34071395.7728655</v>
      </c>
      <c r="H62" t="n">
        <v>55671559.7824931</v>
      </c>
      <c r="I62" t="n">
        <v>8479090.24525924</v>
      </c>
      <c r="J62" t="n">
        <v>3216467.02956127</v>
      </c>
      <c r="K62" t="n">
        <v>15375191.1643689</v>
      </c>
      <c r="L62" t="n">
        <v>12499833.7175476</v>
      </c>
      <c r="M62" t="n">
        <v>9984690.81620927</v>
      </c>
      <c r="N62" t="n">
        <v>1255008.28728076</v>
      </c>
      <c r="O62" t="n">
        <v>3360341.68037763</v>
      </c>
      <c r="P62" t="n">
        <v>4116533.38536602</v>
      </c>
      <c r="Q62" t="n">
        <v>5195016.61351117</v>
      </c>
      <c r="R62" t="n">
        <v>3140999.01439407</v>
      </c>
      <c r="S62" t="n">
        <v>2336325.3559638</v>
      </c>
      <c r="T62" t="n">
        <v>44237713.1310055</v>
      </c>
      <c r="U62" t="n">
        <v>466000.313315112</v>
      </c>
      <c r="V62" t="n">
        <v>225560.976836328</v>
      </c>
      <c r="W62" t="n">
        <v>13437902.7313358</v>
      </c>
      <c r="X62" t="n">
        <v>2813432.37386032</v>
      </c>
      <c r="Y62" t="n">
        <v>2059139.07706213</v>
      </c>
      <c r="Z62" t="n">
        <v>8632476.31524163</v>
      </c>
      <c r="AA62" t="n">
        <v>14078081.0481378</v>
      </c>
      <c r="AB62" t="n">
        <v>247847685.717688</v>
      </c>
      <c r="AC62" t="n">
        <v>46259470.8528916</v>
      </c>
      <c r="AD62" t="n">
        <v>15373268.5025001</v>
      </c>
      <c r="AE62" t="n">
        <v>15841944.5138687</v>
      </c>
      <c r="AF62" t="n">
        <v>84685599.6183731</v>
      </c>
      <c r="AG62" t="n">
        <v>347194.224369802</v>
      </c>
      <c r="AH62" t="n">
        <v>8059694.16462869</v>
      </c>
      <c r="AI62" t="n">
        <v>222645.694699987</v>
      </c>
      <c r="AJ62" t="n">
        <v>13699082.8504414</v>
      </c>
      <c r="AK62" t="n">
        <v>804687.572226823</v>
      </c>
      <c r="AL62" t="n">
        <v>826852.669404065</v>
      </c>
      <c r="AM62" t="n">
        <v>3796381.1829216</v>
      </c>
      <c r="AN62" t="n">
        <v>3859674.39977751</v>
      </c>
      <c r="AO62" t="n">
        <v>6733216.19087969</v>
      </c>
      <c r="AP62" t="n">
        <v>1712728.63993022</v>
      </c>
      <c r="AQ62" t="n">
        <v>22164201.9779621</v>
      </c>
      <c r="AR62" t="n">
        <v>18575815.4292005</v>
      </c>
      <c r="AS62" t="n">
        <v>57482332.4415002</v>
      </c>
      <c r="AT62" t="n">
        <v>17978281.6362537</v>
      </c>
      <c r="AU62" t="n">
        <v>38075721.3647467</v>
      </c>
      <c r="AV62" t="n">
        <v>2137700.7355823</v>
      </c>
      <c r="AW62" t="n">
        <v>2880800.23169487</v>
      </c>
      <c r="AX62" t="n">
        <v>35467245.7367198</v>
      </c>
      <c r="AY62" t="n">
        <v>9731007.30000171</v>
      </c>
      <c r="AZ62" t="n">
        <v>6405309.2767546</v>
      </c>
      <c r="BA62" t="n">
        <v>20508340.1000934</v>
      </c>
      <c r="BB62" t="n">
        <v>98499652.2603498</v>
      </c>
      <c r="BC62" t="n">
        <v>158522909.307978</v>
      </c>
      <c r="BD62" t="n">
        <v>67112087.7769105</v>
      </c>
      <c r="BE62" t="n">
        <v>4988682.58586171</v>
      </c>
      <c r="BF62" t="n">
        <v>5639088.66728005</v>
      </c>
      <c r="BG62" t="n">
        <v>49643893.6342771</v>
      </c>
      <c r="BH62" t="n">
        <v>66839153.0931206</v>
      </c>
      <c r="BI62" t="n">
        <v>16621216.9029671</v>
      </c>
      <c r="BJ62" t="n">
        <v>12651751.8284503</v>
      </c>
      <c r="BK62" t="n">
        <v>4288404.01715501</v>
      </c>
      <c r="BL62" t="n">
        <v>6400740.7644892</v>
      </c>
      <c r="BM62" t="n">
        <v>7995251.59349407</v>
      </c>
      <c r="BN62" t="n">
        <v>36536371.6694156</v>
      </c>
      <c r="BO62" t="n">
        <v>46144813.9666714</v>
      </c>
      <c r="BP62" t="n">
        <v>38687935.2746729</v>
      </c>
      <c r="BQ62" t="n">
        <v>17073492.9506167</v>
      </c>
      <c r="BR62" t="n">
        <v>1902251.82751605</v>
      </c>
      <c r="BS62" t="n">
        <v>132625080.512301</v>
      </c>
      <c r="BT62" t="n">
        <v>23042871.4115219</v>
      </c>
      <c r="BU62" t="n">
        <v>98756010.0746262</v>
      </c>
      <c r="BV62" t="n">
        <v>0</v>
      </c>
      <c r="BW62" t="n">
        <v>36817114.8282627</v>
      </c>
      <c r="BX62" t="n">
        <v>388490995.434065</v>
      </c>
      <c r="BY62" t="n">
        <v>4083769.99673905</v>
      </c>
      <c r="BZ62" t="n">
        <v>0</v>
      </c>
      <c r="CA62" t="n">
        <v>526433346.238332</v>
      </c>
      <c r="CB62" t="n">
        <v>-432095236.015645</v>
      </c>
      <c r="CC62" t="n">
        <v>0</v>
      </c>
      <c r="CD62" t="n">
        <v>0</v>
      </c>
      <c r="CE62" t="n">
        <v>0</v>
      </c>
      <c r="CF62" t="n">
        <v>1346641.76712476</v>
      </c>
      <c r="CG62" t="n">
        <v>0</v>
      </c>
      <c r="CH62" t="n">
        <v>0</v>
      </c>
      <c r="CI62" t="n">
        <v>0</v>
      </c>
      <c r="CJ62" t="n">
        <v>2820290.16573424</v>
      </c>
      <c r="CK62" t="n">
        <v>0</v>
      </c>
      <c r="CL62" t="n">
        <v>0</v>
      </c>
      <c r="CM62" t="n">
        <v>0</v>
      </c>
      <c r="CN62" t="n">
        <v>27546455.3293173</v>
      </c>
    </row>
    <row r="63">
      <c r="A63" t="s">
        <v>174</v>
      </c>
      <c r="B63" t="n">
        <v>0</v>
      </c>
      <c r="C63" t="n">
        <v>0</v>
      </c>
      <c r="D63" t="n">
        <v>21444402.1315937</v>
      </c>
      <c r="E63" t="n">
        <v>27902759.2764111</v>
      </c>
      <c r="F63" t="n">
        <v>21948304.4382563</v>
      </c>
      <c r="G63" t="n">
        <v>555249.425094299</v>
      </c>
      <c r="H63" t="n">
        <v>46972601.7485256</v>
      </c>
      <c r="I63" t="n">
        <v>8992090.80801829</v>
      </c>
      <c r="J63" t="n">
        <v>11891103.2387645</v>
      </c>
      <c r="K63" t="n">
        <v>24505989.301076</v>
      </c>
      <c r="L63" t="n">
        <v>43734760.5518876</v>
      </c>
      <c r="M63" t="n">
        <v>98677695.7803074</v>
      </c>
      <c r="N63" t="n">
        <v>3057621.63553026</v>
      </c>
      <c r="O63" t="n">
        <v>18172210.3769605</v>
      </c>
      <c r="P63" t="n">
        <v>20780894.2080696</v>
      </c>
      <c r="Q63" t="n">
        <v>17247384.2192963</v>
      </c>
      <c r="R63" t="n">
        <v>3005697.70423686</v>
      </c>
      <c r="S63" t="n">
        <v>8879169.95503098</v>
      </c>
      <c r="T63" t="n">
        <v>364430602.120752</v>
      </c>
      <c r="U63" t="n">
        <v>2221163.44329632</v>
      </c>
      <c r="V63" t="n">
        <v>1604862.04186218</v>
      </c>
      <c r="W63" t="n">
        <v>47330619.8743371</v>
      </c>
      <c r="X63" t="n">
        <v>2940145.62201075</v>
      </c>
      <c r="Y63" t="n">
        <v>13715019.6855717</v>
      </c>
      <c r="Z63" t="n">
        <v>55636350.9828133</v>
      </c>
      <c r="AA63" t="n">
        <v>24809550.0943967</v>
      </c>
      <c r="AB63" t="n">
        <v>632268052.364239</v>
      </c>
      <c r="AC63" t="n">
        <v>13159343.0857391</v>
      </c>
      <c r="AD63" t="n">
        <v>26472321.4766218</v>
      </c>
      <c r="AE63" t="n">
        <v>130261251.605418</v>
      </c>
      <c r="AF63" t="n">
        <v>128044424.330818</v>
      </c>
      <c r="AG63" t="n">
        <v>5332422.87473837</v>
      </c>
      <c r="AH63" t="n">
        <v>200858.441145246</v>
      </c>
      <c r="AI63" t="n">
        <v>621400.076467692</v>
      </c>
      <c r="AJ63" t="n">
        <v>59099874.2250183</v>
      </c>
      <c r="AK63" t="n">
        <v>413505.309773355</v>
      </c>
      <c r="AL63" t="n">
        <v>6922.72805888351</v>
      </c>
      <c r="AM63" t="n">
        <v>36142150.4123141</v>
      </c>
      <c r="AN63" t="n">
        <v>8782889.64378918</v>
      </c>
      <c r="AO63" t="n">
        <v>4315185.85592029</v>
      </c>
      <c r="AP63" t="n">
        <v>487415.952752261</v>
      </c>
      <c r="AQ63" t="n">
        <v>9191097.66493318</v>
      </c>
      <c r="AR63" t="n">
        <v>5316242.34201882</v>
      </c>
      <c r="AS63" t="n">
        <v>28816451.286594</v>
      </c>
      <c r="AT63" t="n">
        <v>20823692.90849</v>
      </c>
      <c r="AU63" t="n">
        <v>21709986.0293867</v>
      </c>
      <c r="AV63" t="n">
        <v>2567292.53519452</v>
      </c>
      <c r="AW63" t="n">
        <v>106255.224143907</v>
      </c>
      <c r="AX63" t="n">
        <v>55957884.1546667</v>
      </c>
      <c r="AY63" t="n">
        <v>41897828.6059697</v>
      </c>
      <c r="AZ63" t="n">
        <v>9768643.46450269</v>
      </c>
      <c r="BA63" t="n">
        <v>11981119.5112161</v>
      </c>
      <c r="BB63" t="n">
        <v>43258723.2689745</v>
      </c>
      <c r="BC63" t="n">
        <v>601332.201658584</v>
      </c>
      <c r="BD63" t="n">
        <v>94006878.6153338</v>
      </c>
      <c r="BE63" t="n">
        <v>22129401.6306343</v>
      </c>
      <c r="BF63" t="n">
        <v>19020039.1832879</v>
      </c>
      <c r="BG63" t="n">
        <v>285724490.547773</v>
      </c>
      <c r="BH63" t="n">
        <v>60129510.3316275</v>
      </c>
      <c r="BI63" t="n">
        <v>40152014.4718975</v>
      </c>
      <c r="BJ63" t="n">
        <v>14986001.4342662</v>
      </c>
      <c r="BK63" t="n">
        <v>6699877.85407771</v>
      </c>
      <c r="BL63" t="n">
        <v>8477048.32884617</v>
      </c>
      <c r="BM63" t="n">
        <v>67130957.4607183</v>
      </c>
      <c r="BN63" t="n">
        <v>265336068.168476</v>
      </c>
      <c r="BO63" t="n">
        <v>59681694.0847492</v>
      </c>
      <c r="BP63" t="n">
        <v>0</v>
      </c>
      <c r="BQ63" t="n">
        <v>0</v>
      </c>
      <c r="BR63" t="n">
        <v>846077.09501968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61382221.1044869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2626364.79831769</v>
      </c>
      <c r="C64" t="n">
        <v>143839.591060602</v>
      </c>
      <c r="D64" t="n">
        <v>286529.746948225</v>
      </c>
      <c r="E64" t="n">
        <v>1756781.806124</v>
      </c>
      <c r="F64" t="n">
        <v>5952632.07236267</v>
      </c>
      <c r="G64" t="n">
        <v>71386344.0618133</v>
      </c>
      <c r="H64" t="n">
        <v>24125460.6311001</v>
      </c>
      <c r="I64" t="n">
        <v>8704863.64219673</v>
      </c>
      <c r="J64" t="n">
        <v>4198785.42798212</v>
      </c>
      <c r="K64" t="n">
        <v>61207057.8954903</v>
      </c>
      <c r="L64" t="n">
        <v>61940076.2330178</v>
      </c>
      <c r="M64" t="n">
        <v>17494913.6945077</v>
      </c>
      <c r="N64" t="n">
        <v>1160734.31829932</v>
      </c>
      <c r="O64" t="n">
        <v>2963924.46835122</v>
      </c>
      <c r="P64" t="n">
        <v>6093653.89085802</v>
      </c>
      <c r="Q64" t="n">
        <v>19031577.1040846</v>
      </c>
      <c r="R64" t="n">
        <v>1590920.87784405</v>
      </c>
      <c r="S64" t="n">
        <v>2607258.01942967</v>
      </c>
      <c r="T64" t="n">
        <v>37112581.6554431</v>
      </c>
      <c r="U64" t="n">
        <v>435917.708811444</v>
      </c>
      <c r="V64" t="n">
        <v>1156533.1710775</v>
      </c>
      <c r="W64" t="n">
        <v>20329096.1683759</v>
      </c>
      <c r="X64" t="n">
        <v>13732839.7202765</v>
      </c>
      <c r="Y64" t="n">
        <v>4300226.17863427</v>
      </c>
      <c r="Z64" t="n">
        <v>10314102.7303198</v>
      </c>
      <c r="AA64" t="n">
        <v>17168043.7379566</v>
      </c>
      <c r="AB64" t="n">
        <v>324030506.866728</v>
      </c>
      <c r="AC64" t="n">
        <v>31338452.997586</v>
      </c>
      <c r="AD64" t="n">
        <v>11161128.1453149</v>
      </c>
      <c r="AE64" t="n">
        <v>38215917.871758</v>
      </c>
      <c r="AF64" t="n">
        <v>66553364.6209018</v>
      </c>
      <c r="AG64" t="n">
        <v>2694505.71331233</v>
      </c>
      <c r="AH64" t="n">
        <v>8841645.54678335</v>
      </c>
      <c r="AI64" t="n">
        <v>1607698.41812926</v>
      </c>
      <c r="AJ64" t="n">
        <v>97982716.9043431</v>
      </c>
      <c r="AK64" t="n">
        <v>8665999.66555569</v>
      </c>
      <c r="AL64" t="n">
        <v>3968708.19205296</v>
      </c>
      <c r="AM64" t="n">
        <v>34868111.3262211</v>
      </c>
      <c r="AN64" t="n">
        <v>21289799.217764</v>
      </c>
      <c r="AO64" t="n">
        <v>13925926.4407969</v>
      </c>
      <c r="AP64" t="n">
        <v>1090678.86331249</v>
      </c>
      <c r="AQ64" t="n">
        <v>55041120.2488626</v>
      </c>
      <c r="AR64" t="n">
        <v>23409932.7821709</v>
      </c>
      <c r="AS64" t="n">
        <v>67083901.6944327</v>
      </c>
      <c r="AT64" t="n">
        <v>14189259.4140295</v>
      </c>
      <c r="AU64" t="n">
        <v>30371321.5458621</v>
      </c>
      <c r="AV64" t="n">
        <v>212010.649998705</v>
      </c>
      <c r="AW64" t="n">
        <v>8933621.71719004</v>
      </c>
      <c r="AX64" t="n">
        <v>245952977.881861</v>
      </c>
      <c r="AY64" t="n">
        <v>57115172.7704935</v>
      </c>
      <c r="AZ64" t="n">
        <v>15572016.4211631</v>
      </c>
      <c r="BA64" t="n">
        <v>56498873.2351445</v>
      </c>
      <c r="BB64" t="n">
        <v>102516042.923542</v>
      </c>
      <c r="BC64" t="n">
        <v>139627358.628312</v>
      </c>
      <c r="BD64" t="n">
        <v>278708861.067776</v>
      </c>
      <c r="BE64" t="n">
        <v>21149940.8727619</v>
      </c>
      <c r="BF64" t="n">
        <v>9189029.95307629</v>
      </c>
      <c r="BG64" t="n">
        <v>120447439.942608</v>
      </c>
      <c r="BH64" t="n">
        <v>156109134.427862</v>
      </c>
      <c r="BI64" t="n">
        <v>42229089.7203614</v>
      </c>
      <c r="BJ64" t="n">
        <v>17282409.6677136</v>
      </c>
      <c r="BK64" t="n">
        <v>6341555.12066362</v>
      </c>
      <c r="BL64" t="n">
        <v>6354849.91376457</v>
      </c>
      <c r="BM64" t="n">
        <v>12799070.32253</v>
      </c>
      <c r="BN64" t="n">
        <v>41859620.7547294</v>
      </c>
      <c r="BO64" t="n">
        <v>64539967.3089186</v>
      </c>
      <c r="BP64" t="n">
        <v>11559757.8911318</v>
      </c>
      <c r="BQ64" t="n">
        <v>33480134.020367</v>
      </c>
      <c r="BR64" t="n">
        <v>1971871.52096671</v>
      </c>
      <c r="BS64" t="n">
        <v>197527366.455026</v>
      </c>
      <c r="BT64" t="n">
        <v>21149452.6375979</v>
      </c>
      <c r="BU64" t="n">
        <v>268601380.588155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17094622.3436332</v>
      </c>
      <c r="CB64" t="n">
        <v>-13759276.8883441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309320.041915926</v>
      </c>
      <c r="C65" t="n">
        <v>3014.60546338877</v>
      </c>
      <c r="D65" t="n">
        <v>108291.119813145</v>
      </c>
      <c r="E65" t="n">
        <v>101267.598221208</v>
      </c>
      <c r="F65" t="n">
        <v>125697.903189411</v>
      </c>
      <c r="G65" t="n">
        <v>1134864.43999309</v>
      </c>
      <c r="H65" t="n">
        <v>1743246.40244987</v>
      </c>
      <c r="I65" t="n">
        <v>517063.190089055</v>
      </c>
      <c r="J65" t="n">
        <v>268148.097302895</v>
      </c>
      <c r="K65" t="n">
        <v>1344687.77214047</v>
      </c>
      <c r="L65" t="n">
        <v>705536.939679778</v>
      </c>
      <c r="M65" t="n">
        <v>433205.707228153</v>
      </c>
      <c r="N65" t="n">
        <v>14229.1500579499</v>
      </c>
      <c r="O65" t="n">
        <v>98918.4240027422</v>
      </c>
      <c r="P65" t="n">
        <v>102095.355319397</v>
      </c>
      <c r="Q65" t="n">
        <v>197549.934052956</v>
      </c>
      <c r="R65" t="n">
        <v>124577.08028796</v>
      </c>
      <c r="S65" t="n">
        <v>48174.6236549704</v>
      </c>
      <c r="T65" t="n">
        <v>3571960.3410073</v>
      </c>
      <c r="U65" t="n">
        <v>31448.8923206945</v>
      </c>
      <c r="V65" t="n">
        <v>1188.15667916495</v>
      </c>
      <c r="W65" t="n">
        <v>1220717.4203441</v>
      </c>
      <c r="X65" t="n">
        <v>116602.3504288</v>
      </c>
      <c r="Y65" t="n">
        <v>274365.20634287</v>
      </c>
      <c r="Z65" t="n">
        <v>900869.707589347</v>
      </c>
      <c r="AA65" t="n">
        <v>773430.472566112</v>
      </c>
      <c r="AB65" t="n">
        <v>3190006.7968535</v>
      </c>
      <c r="AC65" t="n">
        <v>1114115.45482516</v>
      </c>
      <c r="AD65" t="n">
        <v>411671.769064454</v>
      </c>
      <c r="AE65" t="n">
        <v>507356.867628331</v>
      </c>
      <c r="AF65" t="n">
        <v>1091987.98322479</v>
      </c>
      <c r="AG65" t="n">
        <v>22034.4416847508</v>
      </c>
      <c r="AH65" t="n">
        <v>488932.717348195</v>
      </c>
      <c r="AI65" t="n">
        <v>788.593205386185</v>
      </c>
      <c r="AJ65" t="n">
        <v>2424330.90620502</v>
      </c>
      <c r="AK65" t="n">
        <v>16046.6534573774</v>
      </c>
      <c r="AL65" t="n">
        <v>107724.627088791</v>
      </c>
      <c r="AM65" t="n">
        <v>285470.852021757</v>
      </c>
      <c r="AN65" t="n">
        <v>251323.674878252</v>
      </c>
      <c r="AO65" t="n">
        <v>11344.9934782091</v>
      </c>
      <c r="AP65" t="n">
        <v>9157.36073711991</v>
      </c>
      <c r="AQ65" t="n">
        <v>37666.1516225536</v>
      </c>
      <c r="AR65" t="n">
        <v>24370.4208602828</v>
      </c>
      <c r="AS65" t="n">
        <v>388715.029733305</v>
      </c>
      <c r="AT65" t="n">
        <v>39864.2419121128</v>
      </c>
      <c r="AU65" t="n">
        <v>1092299.1222295</v>
      </c>
      <c r="AV65" t="n">
        <v>176942.390936895</v>
      </c>
      <c r="AW65" t="n">
        <v>2603.83999813983</v>
      </c>
      <c r="AX65" t="n">
        <v>28502938.0301266</v>
      </c>
      <c r="AY65" t="n">
        <v>558447.9274503</v>
      </c>
      <c r="AZ65" t="n">
        <v>149475.068107907</v>
      </c>
      <c r="BA65" t="n">
        <v>173159.043287566</v>
      </c>
      <c r="BB65" t="n">
        <v>1159867.74537321</v>
      </c>
      <c r="BC65" t="n">
        <v>1604943.25229539</v>
      </c>
      <c r="BD65" t="n">
        <v>2355160.35322603</v>
      </c>
      <c r="BE65" t="n">
        <v>16820778.11968</v>
      </c>
      <c r="BF65" t="n">
        <v>158673.769654958</v>
      </c>
      <c r="BG65" t="n">
        <v>2234321.27869055</v>
      </c>
      <c r="BH65" t="n">
        <v>2489202.65654547</v>
      </c>
      <c r="BI65" t="n">
        <v>1089330.2125892</v>
      </c>
      <c r="BJ65" t="n">
        <v>701016.169340047</v>
      </c>
      <c r="BK65" t="n">
        <v>48226.6554693632</v>
      </c>
      <c r="BL65" t="n">
        <v>341295.707251392</v>
      </c>
      <c r="BM65" t="n">
        <v>684648.309434463</v>
      </c>
      <c r="BN65" t="n">
        <v>2222089.25336464</v>
      </c>
      <c r="BO65" t="n">
        <v>1879218.76594612</v>
      </c>
      <c r="BP65" t="n">
        <v>57808.6111102602</v>
      </c>
      <c r="BQ65" t="n">
        <v>1028684.16609967</v>
      </c>
      <c r="BR65" t="n">
        <v>237239.80715136</v>
      </c>
      <c r="BS65" t="n">
        <v>34784466.1612112</v>
      </c>
      <c r="BT65" t="n">
        <v>3837252.87142669</v>
      </c>
      <c r="BU65" t="n">
        <v>37518805.9104356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2200182.97379138</v>
      </c>
      <c r="CB65" t="n">
        <v>-2046919.98492713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5342.15580156939</v>
      </c>
      <c r="C66" t="n">
        <v>0</v>
      </c>
      <c r="D66" t="n">
        <v>0</v>
      </c>
      <c r="E66" t="n">
        <v>0</v>
      </c>
      <c r="F66" t="n">
        <v>0</v>
      </c>
      <c r="G66" t="n">
        <v>336279.383894765</v>
      </c>
      <c r="H66" t="n">
        <v>5971.33332411285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45400.6134746119</v>
      </c>
      <c r="Y66" t="n">
        <v>4988.77966159038</v>
      </c>
      <c r="Z66" t="n">
        <v>0</v>
      </c>
      <c r="AA66" t="n">
        <v>4163.36159887291</v>
      </c>
      <c r="AB66" t="n">
        <v>3495344.75379252</v>
      </c>
      <c r="AC66" t="n">
        <v>170200.928305347</v>
      </c>
      <c r="AD66" t="n">
        <v>799010.655262232</v>
      </c>
      <c r="AE66" t="n">
        <v>0</v>
      </c>
      <c r="AF66" t="n">
        <v>4336796.43214869</v>
      </c>
      <c r="AG66" t="n">
        <v>39461.2726658181</v>
      </c>
      <c r="AH66" t="n">
        <v>45054.5285067258</v>
      </c>
      <c r="AI66" t="n">
        <v>0</v>
      </c>
      <c r="AJ66" t="n">
        <v>0</v>
      </c>
      <c r="AK66" t="n">
        <v>0</v>
      </c>
      <c r="AL66" t="n">
        <v>5823.13556679952</v>
      </c>
      <c r="AM66" t="n">
        <v>49614.6918234707</v>
      </c>
      <c r="AN66" t="n">
        <v>0</v>
      </c>
      <c r="AO66" t="n">
        <v>0</v>
      </c>
      <c r="AP66" t="n">
        <v>0</v>
      </c>
      <c r="AQ66" t="n">
        <v>11242.6589602698</v>
      </c>
      <c r="AR66" t="n">
        <v>53059.552903427</v>
      </c>
      <c r="AS66" t="n">
        <v>49984.9077742732</v>
      </c>
      <c r="AT66" t="n">
        <v>3648.94963288013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73693.7727884656</v>
      </c>
      <c r="BB66" t="n">
        <v>30181.9410542658</v>
      </c>
      <c r="BC66" t="n">
        <v>0</v>
      </c>
      <c r="BD66" t="n">
        <v>378405.695251385</v>
      </c>
      <c r="BE66" t="n">
        <v>0</v>
      </c>
      <c r="BF66" t="n">
        <v>2030809.88625977</v>
      </c>
      <c r="BG66" t="n">
        <v>0</v>
      </c>
      <c r="BH66" t="n">
        <v>9150.36767478725</v>
      </c>
      <c r="BI66" t="n">
        <v>0</v>
      </c>
      <c r="BJ66" t="n">
        <v>0</v>
      </c>
      <c r="BK66" t="n">
        <v>1689972.2573278</v>
      </c>
      <c r="BL66" t="n">
        <v>249149.113320336</v>
      </c>
      <c r="BM66" t="n">
        <v>0</v>
      </c>
      <c r="BN66" t="n">
        <v>0</v>
      </c>
      <c r="BO66" t="n">
        <v>3621399.24214359</v>
      </c>
      <c r="BP66" t="n">
        <v>0</v>
      </c>
      <c r="BQ66" t="n">
        <v>28387.5278154925</v>
      </c>
      <c r="BR66" t="n">
        <v>166972.924615271</v>
      </c>
      <c r="BS66" t="n">
        <v>20988892.8014174</v>
      </c>
      <c r="BT66" t="n">
        <v>10411.5922076434</v>
      </c>
      <c r="BU66" t="n">
        <v>661718361.430664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10893649.2590409</v>
      </c>
      <c r="CB66" t="n">
        <v>-11040385.1046498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261856.888152915</v>
      </c>
      <c r="BC67" t="n">
        <v>0</v>
      </c>
      <c r="BD67" t="n">
        <v>516116.155419223</v>
      </c>
      <c r="BE67" t="n">
        <v>0</v>
      </c>
      <c r="BF67" t="n">
        <v>0</v>
      </c>
      <c r="BG67" t="n">
        <v>114757007.284456</v>
      </c>
      <c r="BH67" t="n">
        <v>87411767.6752284</v>
      </c>
      <c r="BI67" t="n">
        <v>725174.013921114</v>
      </c>
      <c r="BJ67" t="n">
        <v>8391.87496596417</v>
      </c>
      <c r="BK67" t="n">
        <v>296213.053968073</v>
      </c>
      <c r="BL67" t="n">
        <v>10648.2967072779</v>
      </c>
      <c r="BM67" t="n">
        <v>0</v>
      </c>
      <c r="BN67" t="n">
        <v>0</v>
      </c>
      <c r="BO67" t="n">
        <v>362432.407546917</v>
      </c>
      <c r="BP67" t="n">
        <v>0</v>
      </c>
      <c r="BQ67" t="n">
        <v>3335252.00445736</v>
      </c>
      <c r="BR67" t="n">
        <v>0</v>
      </c>
      <c r="BS67" t="n">
        <v>82944545.3999112</v>
      </c>
      <c r="BT67" t="n">
        <v>0</v>
      </c>
      <c r="BU67" t="n">
        <v>7262204812.61419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7684055.29514301</v>
      </c>
      <c r="CB67" t="n">
        <v>-2580654.99442278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6300129.72120418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7221608389.78125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31192654.8680375</v>
      </c>
      <c r="CB68" t="n">
        <v>-35057392.646871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10496396.3908873</v>
      </c>
      <c r="BR69" t="n">
        <v>0</v>
      </c>
      <c r="BS69" t="n">
        <v>9935603.2992407</v>
      </c>
      <c r="BT69" t="n">
        <v>0</v>
      </c>
      <c r="BU69" t="n">
        <v>1628550578.98756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2089797.82386159</v>
      </c>
      <c r="CB69" t="n">
        <v>-737320.9015942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1580472049.32015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447648.916591283</v>
      </c>
      <c r="C71" t="n">
        <v>0</v>
      </c>
      <c r="D71" t="n">
        <v>0</v>
      </c>
      <c r="E71" t="n">
        <v>0</v>
      </c>
      <c r="F71" t="n">
        <v>72274.2429470216</v>
      </c>
      <c r="G71" t="n">
        <v>699993.971631925</v>
      </c>
      <c r="H71" t="n">
        <v>547653.596796624</v>
      </c>
      <c r="I71" t="n">
        <v>331546.256223041</v>
      </c>
      <c r="J71" t="n">
        <v>126018.428476329</v>
      </c>
      <c r="K71" t="n">
        <v>741075.94378216</v>
      </c>
      <c r="L71" t="n">
        <v>459971.482026391</v>
      </c>
      <c r="M71" t="n">
        <v>275823.747640908</v>
      </c>
      <c r="N71" t="n">
        <v>2857.33152884854</v>
      </c>
      <c r="O71" t="n">
        <v>25610.3550384531</v>
      </c>
      <c r="P71" t="n">
        <v>64139.5294563013</v>
      </c>
      <c r="Q71" t="n">
        <v>51797.9738070594</v>
      </c>
      <c r="R71" t="n">
        <v>64103.7883982403</v>
      </c>
      <c r="S71" t="n">
        <v>38885.1420269725</v>
      </c>
      <c r="T71" t="n">
        <v>995647.930773381</v>
      </c>
      <c r="U71" t="n">
        <v>8298.81895476495</v>
      </c>
      <c r="V71" t="n">
        <v>3260.75365469966</v>
      </c>
      <c r="W71" t="n">
        <v>518333.836028588</v>
      </c>
      <c r="X71" t="n">
        <v>148060.247832481</v>
      </c>
      <c r="Y71" t="n">
        <v>78110.5306706923</v>
      </c>
      <c r="Z71" t="n">
        <v>70982.8287367419</v>
      </c>
      <c r="AA71" t="n">
        <v>772637.828208037</v>
      </c>
      <c r="AB71" t="n">
        <v>14409169.2744982</v>
      </c>
      <c r="AC71" t="n">
        <v>1963423.15044478</v>
      </c>
      <c r="AD71" t="n">
        <v>1428175.55133082</v>
      </c>
      <c r="AE71" t="n">
        <v>556952.055016434</v>
      </c>
      <c r="AF71" t="n">
        <v>1947955.66901951</v>
      </c>
      <c r="AG71" t="n">
        <v>0</v>
      </c>
      <c r="AH71" t="n">
        <v>1377839.20445274</v>
      </c>
      <c r="AI71" t="n">
        <v>0</v>
      </c>
      <c r="AJ71" t="n">
        <v>629830.61141391</v>
      </c>
      <c r="AK71" t="n">
        <v>22019.0589441522</v>
      </c>
      <c r="AL71" t="n">
        <v>0</v>
      </c>
      <c r="AM71" t="n">
        <v>1054504.37105932</v>
      </c>
      <c r="AN71" t="n">
        <v>25681.3510900927</v>
      </c>
      <c r="AO71" t="n">
        <v>132393.152760703</v>
      </c>
      <c r="AP71" t="n">
        <v>6376322.29338277</v>
      </c>
      <c r="AQ71" t="n">
        <v>44692240.1715287</v>
      </c>
      <c r="AR71" t="n">
        <v>485295.498278123</v>
      </c>
      <c r="AS71" t="n">
        <v>7759503.66644881</v>
      </c>
      <c r="AT71" t="n">
        <v>724580.918299255</v>
      </c>
      <c r="AU71" t="n">
        <v>523191.302073402</v>
      </c>
      <c r="AV71" t="n">
        <v>451082.862655433</v>
      </c>
      <c r="AW71" t="n">
        <v>0</v>
      </c>
      <c r="AX71" t="n">
        <v>9049397.50163783</v>
      </c>
      <c r="AY71" t="n">
        <v>654871.465148218</v>
      </c>
      <c r="AZ71" t="n">
        <v>844247.028458134</v>
      </c>
      <c r="BA71" t="n">
        <v>1662639.53743914</v>
      </c>
      <c r="BB71" t="n">
        <v>8844318.22549607</v>
      </c>
      <c r="BC71" t="n">
        <v>30861381.5508941</v>
      </c>
      <c r="BD71" t="n">
        <v>6743129.36335697</v>
      </c>
      <c r="BE71" t="n">
        <v>430648.144452199</v>
      </c>
      <c r="BF71" t="n">
        <v>2582434.99981971</v>
      </c>
      <c r="BG71" t="n">
        <v>4202514.63099135</v>
      </c>
      <c r="BH71" t="n">
        <v>5079759.24394527</v>
      </c>
      <c r="BI71" t="n">
        <v>883224.024466356</v>
      </c>
      <c r="BJ71" t="n">
        <v>3876328.1836583</v>
      </c>
      <c r="BK71" t="n">
        <v>28160649.7634133</v>
      </c>
      <c r="BL71" t="n">
        <v>1344019.02217117</v>
      </c>
      <c r="BM71" t="n">
        <v>628826.770060009</v>
      </c>
      <c r="BN71" t="n">
        <v>11807886.8160572</v>
      </c>
      <c r="BO71" t="n">
        <v>5214115.28465317</v>
      </c>
      <c r="BP71" t="n">
        <v>0</v>
      </c>
      <c r="BQ71" t="n">
        <v>50768.1749101515</v>
      </c>
      <c r="BR71" t="n">
        <v>89853.9784314476</v>
      </c>
      <c r="BS71" t="n">
        <v>6895828.53549147</v>
      </c>
      <c r="BT71" t="n">
        <v>78039.9666712848</v>
      </c>
      <c r="BU71" t="n">
        <v>251480038.514964</v>
      </c>
      <c r="BV71" t="n">
        <v>0</v>
      </c>
      <c r="BW71" t="n">
        <v>0</v>
      </c>
      <c r="BX71" t="n">
        <v>7730767.99433168</v>
      </c>
      <c r="BY71" t="n">
        <v>0</v>
      </c>
      <c r="BZ71" t="n">
        <v>0</v>
      </c>
      <c r="CA71" t="n">
        <v>3503390.51370869</v>
      </c>
      <c r="CB71" t="n">
        <v>-6027383.60661353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68847.7258602102</v>
      </c>
      <c r="C72" t="n">
        <v>0</v>
      </c>
      <c r="D72" t="n">
        <v>0</v>
      </c>
      <c r="E72" t="n">
        <v>0</v>
      </c>
      <c r="F72" t="n">
        <v>23691.5096447378</v>
      </c>
      <c r="G72" t="n">
        <v>172859.881864743</v>
      </c>
      <c r="H72" t="n">
        <v>175900.189250055</v>
      </c>
      <c r="I72" t="n">
        <v>48861.9126153367</v>
      </c>
      <c r="J72" t="n">
        <v>29280.2960628777</v>
      </c>
      <c r="K72" t="n">
        <v>79142.5362414507</v>
      </c>
      <c r="L72" t="n">
        <v>75475.747936357</v>
      </c>
      <c r="M72" t="n">
        <v>40033.8548725023</v>
      </c>
      <c r="N72" t="n">
        <v>584.86343599251</v>
      </c>
      <c r="O72" t="n">
        <v>3145.2899518763</v>
      </c>
      <c r="P72" t="n">
        <v>10364.7126335625</v>
      </c>
      <c r="Q72" t="n">
        <v>8481.96735517215</v>
      </c>
      <c r="R72" t="n">
        <v>13121.3202123032</v>
      </c>
      <c r="S72" t="n">
        <v>6367.4788998998</v>
      </c>
      <c r="T72" t="n">
        <v>120260.534420376</v>
      </c>
      <c r="U72" t="n">
        <v>0</v>
      </c>
      <c r="V72" t="n">
        <v>0</v>
      </c>
      <c r="W72" t="n">
        <v>57129.1924998171</v>
      </c>
      <c r="X72" t="n">
        <v>23462.9090878177</v>
      </c>
      <c r="Y72" t="n">
        <v>6123.19476356191</v>
      </c>
      <c r="Z72" t="n">
        <v>11986.7401003828</v>
      </c>
      <c r="AA72" t="n">
        <v>86871.3966933164</v>
      </c>
      <c r="AB72" t="n">
        <v>1293181.43928308</v>
      </c>
      <c r="AC72" t="n">
        <v>20890.3480138956</v>
      </c>
      <c r="AD72" t="n">
        <v>71198.3846123155</v>
      </c>
      <c r="AE72" t="n">
        <v>9500.14869034319</v>
      </c>
      <c r="AF72" t="n">
        <v>617182.409314943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10149.4567735751</v>
      </c>
      <c r="AN72" t="n">
        <v>2252.86371784813</v>
      </c>
      <c r="AO72" t="n">
        <v>12004.9105334459</v>
      </c>
      <c r="AP72" t="n">
        <v>5367.74458395327</v>
      </c>
      <c r="AQ72" t="n">
        <v>32198.0501583316</v>
      </c>
      <c r="AR72" t="n">
        <v>90353.5204607289</v>
      </c>
      <c r="AS72" t="n">
        <v>815804.364349093</v>
      </c>
      <c r="AT72" t="n">
        <v>107488.712511772</v>
      </c>
      <c r="AU72" t="n">
        <v>47235.8728269522</v>
      </c>
      <c r="AV72" t="n">
        <v>23541.2174095137</v>
      </c>
      <c r="AW72" t="n">
        <v>0</v>
      </c>
      <c r="AX72" t="n">
        <v>0</v>
      </c>
      <c r="AY72" t="n">
        <v>103133.529950109</v>
      </c>
      <c r="AZ72" t="n">
        <v>76045.2762187625</v>
      </c>
      <c r="BA72" t="n">
        <v>286428.937564076</v>
      </c>
      <c r="BB72" t="n">
        <v>424516.963983458</v>
      </c>
      <c r="BC72" t="n">
        <v>3876784.37925949</v>
      </c>
      <c r="BD72" t="n">
        <v>919869.191742397</v>
      </c>
      <c r="BE72" t="n">
        <v>68658.084126591</v>
      </c>
      <c r="BF72" t="n">
        <v>56121.3889291695</v>
      </c>
      <c r="BG72" t="n">
        <v>786362.609988443</v>
      </c>
      <c r="BH72" t="n">
        <v>31447.0800974547</v>
      </c>
      <c r="BI72" t="n">
        <v>76039.0787899976</v>
      </c>
      <c r="BJ72" t="n">
        <v>175866.854940947</v>
      </c>
      <c r="BK72" t="n">
        <v>114357.642585669</v>
      </c>
      <c r="BL72" t="n">
        <v>296358.271999865</v>
      </c>
      <c r="BM72" t="n">
        <v>480217.572866661</v>
      </c>
      <c r="BN72" t="n">
        <v>1826247.14680869</v>
      </c>
      <c r="BO72" t="n">
        <v>97814.6832894656</v>
      </c>
      <c r="BP72" t="n">
        <v>5359.36476017347</v>
      </c>
      <c r="BQ72" t="n">
        <v>3667.64859210137</v>
      </c>
      <c r="BR72" t="n">
        <v>1679.84795095769</v>
      </c>
      <c r="BS72" t="n">
        <v>1864458.76549852</v>
      </c>
      <c r="BT72" t="n">
        <v>167725.93141835</v>
      </c>
      <c r="BU72" t="n">
        <v>367681638.38279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78391.3645634226</v>
      </c>
      <c r="CB72" t="n">
        <v>-135084.322210709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6864.94190802933</v>
      </c>
      <c r="C73" t="n">
        <v>0</v>
      </c>
      <c r="D73" t="n">
        <v>776.387670225157</v>
      </c>
      <c r="E73" t="n">
        <v>34214.5707837782</v>
      </c>
      <c r="F73" t="n">
        <v>752887.491204686</v>
      </c>
      <c r="G73" t="n">
        <v>8103475.45904486</v>
      </c>
      <c r="H73" t="n">
        <v>1523183.20437924</v>
      </c>
      <c r="I73" t="n">
        <v>1568821.74904051</v>
      </c>
      <c r="J73" t="n">
        <v>801429.048138765</v>
      </c>
      <c r="K73" t="n">
        <v>2796535.30897555</v>
      </c>
      <c r="L73" t="n">
        <v>2560289.0674891</v>
      </c>
      <c r="M73" t="n">
        <v>1502472.53189499</v>
      </c>
      <c r="N73" t="n">
        <v>24493.5101931461</v>
      </c>
      <c r="O73" t="n">
        <v>164652.093881427</v>
      </c>
      <c r="P73" t="n">
        <v>453596.937280339</v>
      </c>
      <c r="Q73" t="n">
        <v>275292.802288873</v>
      </c>
      <c r="R73" t="n">
        <v>423121.230280171</v>
      </c>
      <c r="S73" t="n">
        <v>246664.019770823</v>
      </c>
      <c r="T73" t="n">
        <v>4132132.24592048</v>
      </c>
      <c r="U73" t="n">
        <v>36280.8005825549</v>
      </c>
      <c r="V73" t="n">
        <v>8385.51306409759</v>
      </c>
      <c r="W73" t="n">
        <v>2016548.235018</v>
      </c>
      <c r="X73" t="n">
        <v>1068581.57340061</v>
      </c>
      <c r="Y73" t="n">
        <v>207283.684250677</v>
      </c>
      <c r="Z73" t="n">
        <v>465484.402338608</v>
      </c>
      <c r="AA73" t="n">
        <v>3177978.05390322</v>
      </c>
      <c r="AB73" t="n">
        <v>19340253.8105033</v>
      </c>
      <c r="AC73" t="n">
        <v>231214.954998012</v>
      </c>
      <c r="AD73" t="n">
        <v>278934.993586175</v>
      </c>
      <c r="AE73" t="n">
        <v>487374.776260116</v>
      </c>
      <c r="AF73" t="n">
        <v>1055894.68343896</v>
      </c>
      <c r="AG73" t="n">
        <v>0</v>
      </c>
      <c r="AH73" t="n">
        <v>185271.553960421</v>
      </c>
      <c r="AI73" t="n">
        <v>0</v>
      </c>
      <c r="AJ73" t="n">
        <v>0</v>
      </c>
      <c r="AK73" t="n">
        <v>0</v>
      </c>
      <c r="AL73" t="n">
        <v>19455.8659595771</v>
      </c>
      <c r="AM73" t="n">
        <v>1666193.44952731</v>
      </c>
      <c r="AN73" t="n">
        <v>70760.801207261</v>
      </c>
      <c r="AO73" t="n">
        <v>460857.781015943</v>
      </c>
      <c r="AP73" t="n">
        <v>246573.010708535</v>
      </c>
      <c r="AQ73" t="n">
        <v>1259812.28309645</v>
      </c>
      <c r="AR73" t="n">
        <v>3474324.0676227</v>
      </c>
      <c r="AS73" t="n">
        <v>31199949.9729989</v>
      </c>
      <c r="AT73" t="n">
        <v>4156874.61887118</v>
      </c>
      <c r="AU73" t="n">
        <v>1777182.41719275</v>
      </c>
      <c r="AV73" t="n">
        <v>925634.802673431</v>
      </c>
      <c r="AW73" t="n">
        <v>22971.0175266688</v>
      </c>
      <c r="AX73" t="n">
        <v>30961265.0826034</v>
      </c>
      <c r="AY73" t="n">
        <v>4345396.62215754</v>
      </c>
      <c r="AZ73" t="n">
        <v>2283033.23873963</v>
      </c>
      <c r="BA73" t="n">
        <v>11185902.8800181</v>
      </c>
      <c r="BB73" t="n">
        <v>15623149.9484263</v>
      </c>
      <c r="BC73" t="n">
        <v>9196318.53605291</v>
      </c>
      <c r="BD73" t="n">
        <v>23163129.3645729</v>
      </c>
      <c r="BE73" t="n">
        <v>3060176.46423328</v>
      </c>
      <c r="BF73" t="n">
        <v>1735081.07406613</v>
      </c>
      <c r="BG73" t="n">
        <v>19832674.935822</v>
      </c>
      <c r="BH73" t="n">
        <v>1302862.61394184</v>
      </c>
      <c r="BI73" t="n">
        <v>1685558.3298386</v>
      </c>
      <c r="BJ73" t="n">
        <v>2402436.02364039</v>
      </c>
      <c r="BK73" t="n">
        <v>213856.756602326</v>
      </c>
      <c r="BL73" t="n">
        <v>632921.515758622</v>
      </c>
      <c r="BM73" t="n">
        <v>1603756.02027503</v>
      </c>
      <c r="BN73" t="n">
        <v>12108782.668341</v>
      </c>
      <c r="BO73" t="n">
        <v>3148499.42844187</v>
      </c>
      <c r="BP73" t="n">
        <v>5547531.46778874</v>
      </c>
      <c r="BQ73" t="n">
        <v>3982016.36506475</v>
      </c>
      <c r="BR73" t="n">
        <v>182911.02329508</v>
      </c>
      <c r="BS73" t="n">
        <v>19818150.247121</v>
      </c>
      <c r="BT73" t="n">
        <v>598729.292122444</v>
      </c>
      <c r="BU73" t="n">
        <v>797010978.16298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3873275.70684797</v>
      </c>
      <c r="C74" t="n">
        <v>61089.3351695661</v>
      </c>
      <c r="D74" t="n">
        <v>14490.0864691829</v>
      </c>
      <c r="E74" t="n">
        <v>180107.385416222</v>
      </c>
      <c r="F74" t="n">
        <v>2111494.26985012</v>
      </c>
      <c r="G74" t="n">
        <v>22673647.4506123</v>
      </c>
      <c r="H74" t="n">
        <v>2654958.08319141</v>
      </c>
      <c r="I74" t="n">
        <v>3182571.14915553</v>
      </c>
      <c r="J74" t="n">
        <v>1439787.72696339</v>
      </c>
      <c r="K74" t="n">
        <v>5947925.62498271</v>
      </c>
      <c r="L74" t="n">
        <v>4310985.70966704</v>
      </c>
      <c r="M74" t="n">
        <v>2795802.94478127</v>
      </c>
      <c r="N74" t="n">
        <v>36922.3489913378</v>
      </c>
      <c r="O74" t="n">
        <v>444400.053264641</v>
      </c>
      <c r="P74" t="n">
        <v>744681.771818884</v>
      </c>
      <c r="Q74" t="n">
        <v>529090.854346514</v>
      </c>
      <c r="R74" t="n">
        <v>694233.807295833</v>
      </c>
      <c r="S74" t="n">
        <v>401978.074998162</v>
      </c>
      <c r="T74" t="n">
        <v>8955967.47650084</v>
      </c>
      <c r="U74" t="n">
        <v>107237.079971339</v>
      </c>
      <c r="V74" t="n">
        <v>36116.0203991704</v>
      </c>
      <c r="W74" t="n">
        <v>4293521.58954773</v>
      </c>
      <c r="X74" t="n">
        <v>1384226.24785278</v>
      </c>
      <c r="Y74" t="n">
        <v>641192.842943189</v>
      </c>
      <c r="Z74" t="n">
        <v>792755.614746721</v>
      </c>
      <c r="AA74" t="n">
        <v>5530264.97323262</v>
      </c>
      <c r="AB74" t="n">
        <v>66689368.842498</v>
      </c>
      <c r="AC74" t="n">
        <v>7159226.17955221</v>
      </c>
      <c r="AD74" t="n">
        <v>5378503.56648263</v>
      </c>
      <c r="AE74" t="n">
        <v>13922607.4894659</v>
      </c>
      <c r="AF74" t="n">
        <v>20531913.1639164</v>
      </c>
      <c r="AG74" t="n">
        <v>7877123.60036584</v>
      </c>
      <c r="AH74" t="n">
        <v>49872.2556618889</v>
      </c>
      <c r="AI74" t="n">
        <v>7590.69527675752</v>
      </c>
      <c r="AJ74" t="n">
        <v>16999564.358369</v>
      </c>
      <c r="AK74" t="n">
        <v>284529.593639576</v>
      </c>
      <c r="AL74" t="n">
        <v>146105.014264052</v>
      </c>
      <c r="AM74" t="n">
        <v>9141135.86967843</v>
      </c>
      <c r="AN74" t="n">
        <v>1842126.20962246</v>
      </c>
      <c r="AO74" t="n">
        <v>576086.888124948</v>
      </c>
      <c r="AP74" t="n">
        <v>476024.620249568</v>
      </c>
      <c r="AQ74" t="n">
        <v>1653782.03198364</v>
      </c>
      <c r="AR74" t="n">
        <v>4312397.42664192</v>
      </c>
      <c r="AS74" t="n">
        <v>63803785.7609017</v>
      </c>
      <c r="AT74" t="n">
        <v>5900503.88847077</v>
      </c>
      <c r="AU74" t="n">
        <v>14447326.8007292</v>
      </c>
      <c r="AV74" t="n">
        <v>3090256.41025641</v>
      </c>
      <c r="AW74" t="n">
        <v>26382.6985497924</v>
      </c>
      <c r="AX74" t="n">
        <v>123802838.637529</v>
      </c>
      <c r="AY74" t="n">
        <v>14546664.9596723</v>
      </c>
      <c r="AZ74" t="n">
        <v>5889464.43281025</v>
      </c>
      <c r="BA74" t="n">
        <v>20859617.668456</v>
      </c>
      <c r="BB74" t="n">
        <v>54704010.8296464</v>
      </c>
      <c r="BC74" t="n">
        <v>64174835.6682496</v>
      </c>
      <c r="BD74" t="n">
        <v>63596375.9509203</v>
      </c>
      <c r="BE74" t="n">
        <v>3965806.14754508</v>
      </c>
      <c r="BF74" t="n">
        <v>5193659.14480962</v>
      </c>
      <c r="BG74" t="n">
        <v>182332871.444089</v>
      </c>
      <c r="BH74" t="n">
        <v>132734887.38447</v>
      </c>
      <c r="BI74" t="n">
        <v>59637680.3187733</v>
      </c>
      <c r="BJ74" t="n">
        <v>30915667.374612</v>
      </c>
      <c r="BK74" t="n">
        <v>1169717.24231188</v>
      </c>
      <c r="BL74" t="n">
        <v>4919513.07876241</v>
      </c>
      <c r="BM74" t="n">
        <v>35542555.4626118</v>
      </c>
      <c r="BN74" t="n">
        <v>43449896.9770412</v>
      </c>
      <c r="BO74" t="n">
        <v>12028652.9221703</v>
      </c>
      <c r="BP74" t="n">
        <v>2846318.45063428</v>
      </c>
      <c r="BQ74" t="n">
        <v>1813715.55283714</v>
      </c>
      <c r="BR74" t="n">
        <v>1530129.39835905</v>
      </c>
      <c r="BS74" t="n">
        <v>97267298.2079076</v>
      </c>
      <c r="BT74" t="n">
        <v>2871624.52708968</v>
      </c>
      <c r="BU74" t="n">
        <v>5111548913.381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18584351.9602352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4073136.97956631</v>
      </c>
      <c r="C75" t="n">
        <v>401926.340663928</v>
      </c>
      <c r="D75" t="n">
        <v>102294.270691269</v>
      </c>
      <c r="E75" t="n">
        <v>782975.866648776</v>
      </c>
      <c r="F75" t="n">
        <v>2749704.57494433</v>
      </c>
      <c r="G75" t="n">
        <v>12248025.8779161</v>
      </c>
      <c r="H75" t="n">
        <v>36889273.7395978</v>
      </c>
      <c r="I75" t="n">
        <v>9449465.69161838</v>
      </c>
      <c r="J75" t="n">
        <v>6728877.50751963</v>
      </c>
      <c r="K75" t="n">
        <v>36408473.4908027</v>
      </c>
      <c r="L75" t="n">
        <v>20114210.145095</v>
      </c>
      <c r="M75" t="n">
        <v>9925893.19239718</v>
      </c>
      <c r="N75" t="n">
        <v>529548.576719533</v>
      </c>
      <c r="O75" t="n">
        <v>1677354.77690937</v>
      </c>
      <c r="P75" t="n">
        <v>2936815.0291393</v>
      </c>
      <c r="Q75" t="n">
        <v>3199902.07991226</v>
      </c>
      <c r="R75" t="n">
        <v>1276463.70968945</v>
      </c>
      <c r="S75" t="n">
        <v>1135793.40616501</v>
      </c>
      <c r="T75" t="n">
        <v>37464809.165964</v>
      </c>
      <c r="U75" t="n">
        <v>406156.250615444</v>
      </c>
      <c r="V75" t="n">
        <v>52804.1974305707</v>
      </c>
      <c r="W75" t="n">
        <v>30657795.644382</v>
      </c>
      <c r="X75" t="n">
        <v>3291421.48085598</v>
      </c>
      <c r="Y75" t="n">
        <v>3974153.69068177</v>
      </c>
      <c r="Z75" t="n">
        <v>7660048.26526161</v>
      </c>
      <c r="AA75" t="n">
        <v>15302825.7403947</v>
      </c>
      <c r="AB75" t="n">
        <v>161728461.851172</v>
      </c>
      <c r="AC75" t="n">
        <v>19882398.6619016</v>
      </c>
      <c r="AD75" t="n">
        <v>16273226.9618184</v>
      </c>
      <c r="AE75" t="n">
        <v>32487448.4234446</v>
      </c>
      <c r="AF75" t="n">
        <v>39476398.5551898</v>
      </c>
      <c r="AG75" t="n">
        <v>495778.535605686</v>
      </c>
      <c r="AH75" t="n">
        <v>1993479.40027959</v>
      </c>
      <c r="AI75" t="n">
        <v>175623.163453838</v>
      </c>
      <c r="AJ75" t="n">
        <v>126264957.966775</v>
      </c>
      <c r="AK75" t="n">
        <v>3887092.67614985</v>
      </c>
      <c r="AL75" t="n">
        <v>1662962.23219777</v>
      </c>
      <c r="AM75" t="n">
        <v>15442586.2056148</v>
      </c>
      <c r="AN75" t="n">
        <v>6108918.64814208</v>
      </c>
      <c r="AO75" t="n">
        <v>1651430.17663169</v>
      </c>
      <c r="AP75" t="n">
        <v>323542.844621674</v>
      </c>
      <c r="AQ75" t="n">
        <v>10473950.3553756</v>
      </c>
      <c r="AR75" t="n">
        <v>4000647.70017784</v>
      </c>
      <c r="AS75" t="n">
        <v>29600282.9458782</v>
      </c>
      <c r="AT75" t="n">
        <v>7175675.02757924</v>
      </c>
      <c r="AU75" t="n">
        <v>29047587.6879565</v>
      </c>
      <c r="AV75" t="n">
        <v>577386.263579176</v>
      </c>
      <c r="AW75" t="n">
        <v>126437132.891069</v>
      </c>
      <c r="AX75" t="n">
        <v>20278898.5819262</v>
      </c>
      <c r="AY75" t="n">
        <v>34589761.039285</v>
      </c>
      <c r="AZ75" t="n">
        <v>2882549.91832348</v>
      </c>
      <c r="BA75" t="n">
        <v>8064869.65188375</v>
      </c>
      <c r="BB75" t="n">
        <v>28285003.2057367</v>
      </c>
      <c r="BC75" t="n">
        <v>101210111.000431</v>
      </c>
      <c r="BD75" t="n">
        <v>86166401.4622767</v>
      </c>
      <c r="BE75" t="n">
        <v>34450713.2046755</v>
      </c>
      <c r="BF75" t="n">
        <v>8744775.90321166</v>
      </c>
      <c r="BG75" t="n">
        <v>42374701.1259013</v>
      </c>
      <c r="BH75" t="n">
        <v>81095436.2176385</v>
      </c>
      <c r="BI75" t="n">
        <v>11987895.7405613</v>
      </c>
      <c r="BJ75" t="n">
        <v>7036009.97435719</v>
      </c>
      <c r="BK75" t="n">
        <v>1812859.58030302</v>
      </c>
      <c r="BL75" t="n">
        <v>5495949.5793907</v>
      </c>
      <c r="BM75" t="n">
        <v>8556706.71614521</v>
      </c>
      <c r="BN75" t="n">
        <v>65870127.0842766</v>
      </c>
      <c r="BO75" t="n">
        <v>45027680.5463501</v>
      </c>
      <c r="BP75" t="n">
        <v>12002976.9092784</v>
      </c>
      <c r="BQ75" t="n">
        <v>53562224.5648387</v>
      </c>
      <c r="BR75" t="n">
        <v>3521189.62940413</v>
      </c>
      <c r="BS75" t="n">
        <v>208116938.467314</v>
      </c>
      <c r="BT75" t="n">
        <v>16203412.6192426</v>
      </c>
      <c r="BU75" t="n">
        <v>4120771520.34136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554007.268072849</v>
      </c>
      <c r="CB75" t="n">
        <v>-31430499.8330787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8194647406.34377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1507424953.05588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6634.71036526353</v>
      </c>
      <c r="C78" t="n">
        <v>856.762143131499</v>
      </c>
      <c r="D78" t="n">
        <v>0</v>
      </c>
      <c r="E78" t="n">
        <v>918.530745146781</v>
      </c>
      <c r="F78" t="n">
        <v>0</v>
      </c>
      <c r="G78" t="n">
        <v>175401.700789321</v>
      </c>
      <c r="H78" t="n">
        <v>2472.03991369279</v>
      </c>
      <c r="I78" t="n">
        <v>0</v>
      </c>
      <c r="J78" t="n">
        <v>0</v>
      </c>
      <c r="K78" t="n">
        <v>56724.3217530753</v>
      </c>
      <c r="L78" t="n">
        <v>77643.9602127173</v>
      </c>
      <c r="M78" t="n">
        <v>147922.268518536</v>
      </c>
      <c r="N78" t="n">
        <v>3205.59203465832</v>
      </c>
      <c r="O78" t="n">
        <v>84776.9051974525</v>
      </c>
      <c r="P78" t="n">
        <v>0</v>
      </c>
      <c r="Q78" t="n">
        <v>0</v>
      </c>
      <c r="R78" t="n">
        <v>0</v>
      </c>
      <c r="S78" t="n">
        <v>2416.13084980742</v>
      </c>
      <c r="T78" t="n">
        <v>0</v>
      </c>
      <c r="U78" t="n">
        <v>343.765106642632</v>
      </c>
      <c r="V78" t="n">
        <v>0</v>
      </c>
      <c r="W78" t="n">
        <v>0</v>
      </c>
      <c r="X78" t="n">
        <v>23741.246989373</v>
      </c>
      <c r="Y78" t="n">
        <v>9293.75032109113</v>
      </c>
      <c r="Z78" t="n">
        <v>11210.0785758854</v>
      </c>
      <c r="AA78" t="n">
        <v>0</v>
      </c>
      <c r="AB78" t="n">
        <v>9324276.97810057</v>
      </c>
      <c r="AC78" t="n">
        <v>423506.677251447</v>
      </c>
      <c r="AD78" t="n">
        <v>243881.554944372</v>
      </c>
      <c r="AE78" t="n">
        <v>269821.137592597</v>
      </c>
      <c r="AF78" t="n">
        <v>1496974.19873153</v>
      </c>
      <c r="AG78" t="n">
        <v>163.363583608874</v>
      </c>
      <c r="AH78" t="n">
        <v>0</v>
      </c>
      <c r="AI78" t="n">
        <v>66005.5136750367</v>
      </c>
      <c r="AJ78" t="n">
        <v>3470286.29429109</v>
      </c>
      <c r="AK78" t="n">
        <v>37637.0572255841</v>
      </c>
      <c r="AL78" t="n">
        <v>19023.4214433503</v>
      </c>
      <c r="AM78" t="n">
        <v>334558.639041996</v>
      </c>
      <c r="AN78" t="n">
        <v>246823.00626059</v>
      </c>
      <c r="AO78" t="n">
        <v>32441.6978522893</v>
      </c>
      <c r="AP78" t="n">
        <v>21376.3575340529</v>
      </c>
      <c r="AQ78" t="n">
        <v>25261.2444155184</v>
      </c>
      <c r="AR78" t="n">
        <v>153756.289655761</v>
      </c>
      <c r="AS78" t="n">
        <v>552265.977723252</v>
      </c>
      <c r="AT78" t="n">
        <v>300085.358108971</v>
      </c>
      <c r="AU78" t="n">
        <v>22356.2996201806</v>
      </c>
      <c r="AV78" t="n">
        <v>0</v>
      </c>
      <c r="AW78" t="n">
        <v>0</v>
      </c>
      <c r="AX78" t="n">
        <v>108864.367088495</v>
      </c>
      <c r="AY78" t="n">
        <v>377460.611803963</v>
      </c>
      <c r="AZ78" t="n">
        <v>47903.8624273614</v>
      </c>
      <c r="BA78" t="n">
        <v>88918.590144251</v>
      </c>
      <c r="BB78" t="n">
        <v>422027.471372843</v>
      </c>
      <c r="BC78" t="n">
        <v>190652.13334405</v>
      </c>
      <c r="BD78" t="n">
        <v>378317.438764746</v>
      </c>
      <c r="BE78" t="n">
        <v>62370.5027518086</v>
      </c>
      <c r="BF78" t="n">
        <v>104230.640373775</v>
      </c>
      <c r="BG78" t="n">
        <v>486665.043453759</v>
      </c>
      <c r="BH78" t="n">
        <v>1312545.52977679</v>
      </c>
      <c r="BI78" t="n">
        <v>125062.770650386</v>
      </c>
      <c r="BJ78" t="n">
        <v>262057.792372451</v>
      </c>
      <c r="BK78" t="n">
        <v>20477.4980495099</v>
      </c>
      <c r="BL78" t="n">
        <v>16327.797392654</v>
      </c>
      <c r="BM78" t="n">
        <v>188693.735114472</v>
      </c>
      <c r="BN78" t="n">
        <v>2491397.29544639</v>
      </c>
      <c r="BO78" t="n">
        <v>212777.663444999</v>
      </c>
      <c r="BP78" t="n">
        <v>150.637286471063</v>
      </c>
      <c r="BQ78" t="n">
        <v>30926.312522103</v>
      </c>
      <c r="BR78" t="n">
        <v>23230.2692918333</v>
      </c>
      <c r="BS78" t="n">
        <v>1036838.75816482</v>
      </c>
      <c r="BT78" t="n">
        <v>27747.1611118334</v>
      </c>
      <c r="BU78" t="n">
        <v>2508225.42060303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4284138.25985841</v>
      </c>
      <c r="CB78" t="n">
        <v>-1758279.21514793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14832549656.3389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6543330.43827304</v>
      </c>
      <c r="H80" t="n">
        <v>0</v>
      </c>
      <c r="I80" t="n">
        <v>1640248.2076417</v>
      </c>
      <c r="J80" t="n">
        <v>1093987.18118616</v>
      </c>
      <c r="K80" t="n">
        <v>5650529.34373358</v>
      </c>
      <c r="L80" t="n">
        <v>3017689.99676692</v>
      </c>
      <c r="M80" t="n">
        <v>2129253.89834335</v>
      </c>
      <c r="N80" t="n">
        <v>55383.5234870067</v>
      </c>
      <c r="O80" t="n">
        <v>416034.092417962</v>
      </c>
      <c r="P80" t="n">
        <v>479836.790209657</v>
      </c>
      <c r="Q80" t="n">
        <v>1007184.99984035</v>
      </c>
      <c r="R80" t="n">
        <v>370783.965260274</v>
      </c>
      <c r="S80" t="n">
        <v>222523.577231125</v>
      </c>
      <c r="T80" t="n">
        <v>16728761.2680328</v>
      </c>
      <c r="U80" t="n">
        <v>165451.494812924</v>
      </c>
      <c r="V80" t="n">
        <v>12038.6734663901</v>
      </c>
      <c r="W80" t="n">
        <v>5520242.04370423</v>
      </c>
      <c r="X80" t="n">
        <v>458469.840053148</v>
      </c>
      <c r="Y80" t="n">
        <v>1242502.87747364</v>
      </c>
      <c r="Z80" t="n">
        <v>4376535.12934553</v>
      </c>
      <c r="AA80" t="n">
        <v>2995560.19383434</v>
      </c>
      <c r="AB80" t="n">
        <v>11903090.4724891</v>
      </c>
      <c r="AC80" t="n">
        <v>4171729.54071651</v>
      </c>
      <c r="AD80" t="n">
        <v>2043693.26788044</v>
      </c>
      <c r="AE80" t="n">
        <v>2227617.19831454</v>
      </c>
      <c r="AF80" t="n">
        <v>4723276.48896252</v>
      </c>
      <c r="AG80" t="n">
        <v>7765.49461527131</v>
      </c>
      <c r="AH80" t="n">
        <v>0</v>
      </c>
      <c r="AI80" t="n">
        <v>0</v>
      </c>
      <c r="AJ80" t="n">
        <v>7345925.73827965</v>
      </c>
      <c r="AK80" t="n">
        <v>12043.5806831567</v>
      </c>
      <c r="AL80" t="n">
        <v>262129.584414917</v>
      </c>
      <c r="AM80" t="n">
        <v>604120.461347239</v>
      </c>
      <c r="AN80" t="n">
        <v>1124238.78969606</v>
      </c>
      <c r="AO80" t="n">
        <v>73514.5680901906</v>
      </c>
      <c r="AP80" t="n">
        <v>71605.3983849986</v>
      </c>
      <c r="AQ80" t="n">
        <v>210179.656238723</v>
      </c>
      <c r="AR80" t="n">
        <v>178139.934597478</v>
      </c>
      <c r="AS80" t="n">
        <v>2716645.56560089</v>
      </c>
      <c r="AT80" t="n">
        <v>371937.067698814</v>
      </c>
      <c r="AU80" t="n">
        <v>338967.084100811</v>
      </c>
      <c r="AV80" t="n">
        <v>0</v>
      </c>
      <c r="AW80" t="n">
        <v>0</v>
      </c>
      <c r="AX80" t="n">
        <v>9720475.19692066</v>
      </c>
      <c r="AY80" t="n">
        <v>5610018.54291508</v>
      </c>
      <c r="AZ80" t="n">
        <v>1331630.48310994</v>
      </c>
      <c r="BA80" t="n">
        <v>738049.787152074</v>
      </c>
      <c r="BB80" t="n">
        <v>3641917.6398279</v>
      </c>
      <c r="BC80" t="n">
        <v>7133609.47971064</v>
      </c>
      <c r="BD80" t="n">
        <v>7562459.87730062</v>
      </c>
      <c r="BE80" t="n">
        <v>7002817.54678034</v>
      </c>
      <c r="BF80" t="n">
        <v>416815.956844594</v>
      </c>
      <c r="BG80" t="n">
        <v>5601207.99184121</v>
      </c>
      <c r="BH80" t="n">
        <v>6239356.76569417</v>
      </c>
      <c r="BI80" t="n">
        <v>4287985.4736205</v>
      </c>
      <c r="BJ80" t="n">
        <v>2005658.11686544</v>
      </c>
      <c r="BK80" t="n">
        <v>250808.133286836</v>
      </c>
      <c r="BL80" t="n">
        <v>929951.24576894</v>
      </c>
      <c r="BM80" t="n">
        <v>3279844.60718153</v>
      </c>
      <c r="BN80" t="n">
        <v>10382012.1913901</v>
      </c>
      <c r="BO80" t="n">
        <v>9265960.60803911</v>
      </c>
      <c r="BP80" t="n">
        <v>3732436.45885062</v>
      </c>
      <c r="BQ80" t="n">
        <v>4724480.93854538</v>
      </c>
      <c r="BR80" t="n">
        <v>1222083.54588413</v>
      </c>
      <c r="BS80" t="n">
        <v>54460332.0452699</v>
      </c>
      <c r="BT80" t="n">
        <v>9508054.45424344</v>
      </c>
      <c r="BU80" t="n">
        <v>576731251.285339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-177401.940771663</v>
      </c>
      <c r="C81" t="n">
        <v>1893769.39025655</v>
      </c>
      <c r="D81" t="n">
        <v>0</v>
      </c>
      <c r="E81" t="n">
        <v>0</v>
      </c>
      <c r="F81" t="n">
        <v>4759241.05267806</v>
      </c>
      <c r="G81" t="n">
        <v>51583078.2038251</v>
      </c>
      <c r="H81" t="n">
        <v>15588239.3681155</v>
      </c>
      <c r="I81" t="n">
        <v>0</v>
      </c>
      <c r="J81" t="n">
        <v>484120.764088128</v>
      </c>
      <c r="K81" t="n">
        <v>757795464.250923</v>
      </c>
      <c r="L81" t="n">
        <v>6489167.96297249</v>
      </c>
      <c r="M81" t="n">
        <v>64803.3795147977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224916.303868019</v>
      </c>
      <c r="T81" t="n">
        <v>16432.9678467905</v>
      </c>
      <c r="U81" t="n">
        <v>61278.3314121939</v>
      </c>
      <c r="V81" t="n">
        <v>0</v>
      </c>
      <c r="W81" t="n">
        <v>42861612.6682279</v>
      </c>
      <c r="X81" t="n">
        <v>0</v>
      </c>
      <c r="Y81" t="n">
        <v>0</v>
      </c>
      <c r="Z81" t="n">
        <v>117930.587317694</v>
      </c>
      <c r="AA81" t="n">
        <v>737368.663097683</v>
      </c>
      <c r="AB81" t="n">
        <v>0</v>
      </c>
      <c r="AC81" t="n">
        <v>358858.455115399</v>
      </c>
      <c r="AD81" t="n">
        <v>0</v>
      </c>
      <c r="AE81" t="n">
        <v>0</v>
      </c>
      <c r="AF81" t="n">
        <v>1316898.64933899</v>
      </c>
      <c r="AG81" t="n">
        <v>-242671.706727229</v>
      </c>
      <c r="AH81" t="n">
        <v>0</v>
      </c>
      <c r="AI81" t="n">
        <v>-73110.3808235067</v>
      </c>
      <c r="AJ81" t="n">
        <v>5690009.62461469</v>
      </c>
      <c r="AK81" t="n">
        <v>6021.79034157833</v>
      </c>
      <c r="AL81" t="n">
        <v>502773.137320414</v>
      </c>
      <c r="AM81" t="n">
        <v>9867300.86867158</v>
      </c>
      <c r="AN81" t="n">
        <v>0</v>
      </c>
      <c r="AO81" t="n">
        <v>0</v>
      </c>
      <c r="AP81" t="n">
        <v>127074.368964927</v>
      </c>
      <c r="AQ81" t="n">
        <v>2765.52179261478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46086.7841464271</v>
      </c>
      <c r="AZ81" t="n">
        <v>0</v>
      </c>
      <c r="BA81" t="n">
        <v>0</v>
      </c>
      <c r="BB81" t="n">
        <v>0</v>
      </c>
      <c r="BC81" t="n">
        <v>3262658.5992475</v>
      </c>
      <c r="BD81" t="n">
        <v>0</v>
      </c>
      <c r="BE81" t="n">
        <v>0</v>
      </c>
      <c r="BF81" t="n">
        <v>909717.366129074</v>
      </c>
      <c r="BG81" t="n">
        <v>0</v>
      </c>
      <c r="BH81" t="n">
        <v>0</v>
      </c>
      <c r="BI81" t="n">
        <v>0</v>
      </c>
      <c r="BJ81" t="n">
        <v>0</v>
      </c>
      <c r="BK81" t="n">
        <v>-298375.193048132</v>
      </c>
      <c r="BL81" t="n">
        <v>1877649.65271668</v>
      </c>
      <c r="BM81" t="n">
        <v>0</v>
      </c>
      <c r="BN81" t="n">
        <v>0</v>
      </c>
      <c r="BO81" t="n">
        <v>186091945.407061</v>
      </c>
      <c r="BP81" t="n">
        <v>-201390.456412803</v>
      </c>
      <c r="BQ81" t="n">
        <v>0</v>
      </c>
      <c r="BR81" t="n">
        <v>0</v>
      </c>
      <c r="BS81" t="n">
        <v>0</v>
      </c>
      <c r="BT81" t="n">
        <v>0</v>
      </c>
      <c r="BU81" t="n">
        <v>647541908.071021</v>
      </c>
      <c r="BV81" t="n">
        <v>-40354472.0432388</v>
      </c>
      <c r="BW81" t="n">
        <v>-1728082418.01313</v>
      </c>
      <c r="BX81" t="n">
        <v>0</v>
      </c>
      <c r="BY81" t="n">
        <v>-7501250.81169179</v>
      </c>
      <c r="BZ81" t="n">
        <v>34476958.7367095</v>
      </c>
      <c r="CA81" t="n">
        <v>336821586.418493</v>
      </c>
      <c r="CB81" t="n">
        <v>-282002638.299107</v>
      </c>
      <c r="CC81" t="n">
        <v>0</v>
      </c>
      <c r="CD81" t="n">
        <v>-53431.9391502665</v>
      </c>
      <c r="CE81" t="n">
        <v>0</v>
      </c>
      <c r="CF81" t="n">
        <v>0</v>
      </c>
      <c r="CG81" t="n">
        <v>0</v>
      </c>
      <c r="CH81" t="n">
        <v>-7386965.58752435</v>
      </c>
      <c r="CI81" t="n">
        <v>440813.497989699</v>
      </c>
      <c r="CJ81" t="n">
        <v>0</v>
      </c>
      <c r="CK81" t="n">
        <v>0</v>
      </c>
      <c r="CL81" t="n">
        <v>28900722.1884866</v>
      </c>
      <c r="CM81" t="n">
        <v>-120033393.794804</v>
      </c>
      <c r="CN81" t="n">
        <v>0</v>
      </c>
    </row>
    <row r="82">
      <c r="A82" t="s">
        <v>193</v>
      </c>
      <c r="B82" t="n">
        <v>9195333.92999784</v>
      </c>
      <c r="C82" t="n">
        <v>274902.008263047</v>
      </c>
      <c r="D82" t="n">
        <v>881666.030547973</v>
      </c>
      <c r="E82" t="n">
        <v>109155.991161347</v>
      </c>
      <c r="F82" t="n">
        <v>1868504.84990705</v>
      </c>
      <c r="G82" t="n">
        <v>16501494.589875</v>
      </c>
      <c r="H82" t="n">
        <v>8355957.28672482</v>
      </c>
      <c r="I82" t="n">
        <v>4945225.93945705</v>
      </c>
      <c r="J82" t="n">
        <v>1861035.66454657</v>
      </c>
      <c r="K82" t="n">
        <v>18617007.2061959</v>
      </c>
      <c r="L82" t="n">
        <v>8213562.2468393</v>
      </c>
      <c r="M82" t="n">
        <v>12599628.5028057</v>
      </c>
      <c r="N82" t="n">
        <v>2230285.69978628</v>
      </c>
      <c r="O82" t="n">
        <v>3195898.25539253</v>
      </c>
      <c r="P82" t="n">
        <v>6995023.33779663</v>
      </c>
      <c r="Q82" t="n">
        <v>2989682.05648813</v>
      </c>
      <c r="R82" t="n">
        <v>923015.40288196</v>
      </c>
      <c r="S82" t="n">
        <v>1055192.44687018</v>
      </c>
      <c r="T82" t="n">
        <v>36349724.8771006</v>
      </c>
      <c r="U82" t="n">
        <v>297199.907349141</v>
      </c>
      <c r="V82" t="n">
        <v>90290.050997926</v>
      </c>
      <c r="W82" t="n">
        <v>14107285.2227997</v>
      </c>
      <c r="X82" t="n">
        <v>2160098.2848658</v>
      </c>
      <c r="Y82" t="n">
        <v>20321824.8404578</v>
      </c>
      <c r="Z82" t="n">
        <v>7793246.31191094</v>
      </c>
      <c r="AA82" t="n">
        <v>10200266.5061846</v>
      </c>
      <c r="AB82" t="n">
        <v>57832187.0431037</v>
      </c>
      <c r="AC82" t="n">
        <v>1013775.135701</v>
      </c>
      <c r="AD82" t="n">
        <v>2982687.47204172</v>
      </c>
      <c r="AE82" t="n">
        <v>11852065.8628273</v>
      </c>
      <c r="AF82" t="n">
        <v>19958330.6410932</v>
      </c>
      <c r="AG82" t="n">
        <v>16386164.3250494</v>
      </c>
      <c r="AH82" t="n">
        <v>2161131.07868185</v>
      </c>
      <c r="AI82" t="n">
        <v>746684.709066306</v>
      </c>
      <c r="AJ82" t="n">
        <v>17492815.9666947</v>
      </c>
      <c r="AK82" t="n">
        <v>31614.3992932862</v>
      </c>
      <c r="AL82" t="n">
        <v>457652.471150634</v>
      </c>
      <c r="AM82" t="n">
        <v>2953477.81103095</v>
      </c>
      <c r="AN82" t="n">
        <v>595982.008995502</v>
      </c>
      <c r="AO82" t="n">
        <v>930293.443468594</v>
      </c>
      <c r="AP82" t="n">
        <v>520399.796713511</v>
      </c>
      <c r="AQ82" t="n">
        <v>16966476.1976916</v>
      </c>
      <c r="AR82" t="n">
        <v>1455103.42616752</v>
      </c>
      <c r="AS82" t="n">
        <v>19893821.0134187</v>
      </c>
      <c r="AT82" t="n">
        <v>65176501.4514568</v>
      </c>
      <c r="AU82" t="n">
        <v>6641922.59386725</v>
      </c>
      <c r="AV82" t="n">
        <v>521595.441595441</v>
      </c>
      <c r="AW82" t="n">
        <v>151700.516661306</v>
      </c>
      <c r="AX82" t="n">
        <v>3139094.85722863</v>
      </c>
      <c r="AY82" t="n">
        <v>6456339.48814947</v>
      </c>
      <c r="AZ82" t="n">
        <v>605806.142530701</v>
      </c>
      <c r="BA82" t="n">
        <v>6506491.54463013</v>
      </c>
      <c r="BB82" t="n">
        <v>10022798.1327495</v>
      </c>
      <c r="BC82" t="n">
        <v>26115093.6185531</v>
      </c>
      <c r="BD82" t="n">
        <v>7741742.33128835</v>
      </c>
      <c r="BE82" t="n">
        <v>825595.331830945</v>
      </c>
      <c r="BF82" t="n">
        <v>1432391.3437596</v>
      </c>
      <c r="BG82" t="n">
        <v>0</v>
      </c>
      <c r="BH82" t="n">
        <v>0</v>
      </c>
      <c r="BI82" t="n">
        <v>2459285.78634117</v>
      </c>
      <c r="BJ82" t="n">
        <v>0</v>
      </c>
      <c r="BK82" t="n">
        <v>750262.260780448</v>
      </c>
      <c r="BL82" t="n">
        <v>827017.71093192</v>
      </c>
      <c r="BM82" t="n">
        <v>2805453.1178635</v>
      </c>
      <c r="BN82" t="n">
        <v>13573892.9622059</v>
      </c>
      <c r="BO82" t="n">
        <v>28112445.8004788</v>
      </c>
      <c r="BP82" t="n">
        <v>23675462.0558891</v>
      </c>
      <c r="BQ82" t="n">
        <v>10386140.1262771</v>
      </c>
      <c r="BR82" t="n">
        <v>20199.7280311426</v>
      </c>
      <c r="BS82" t="n">
        <v>0</v>
      </c>
      <c r="BT82" t="n">
        <v>0</v>
      </c>
      <c r="BU82" t="n">
        <v>-585145139.955585</v>
      </c>
      <c r="BV82" t="n">
        <v>0</v>
      </c>
      <c r="BW82" t="n">
        <v>0</v>
      </c>
      <c r="BX82" t="n">
        <v>52979261.3263696</v>
      </c>
      <c r="BY82" t="n">
        <v>0</v>
      </c>
      <c r="BZ82" t="n">
        <v>0</v>
      </c>
      <c r="CA82" t="n">
        <v>1140468880.58686</v>
      </c>
      <c r="CB82" t="n">
        <v>-1660377808.45134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226</v>
      </c>
    </row>
    <row r="2">
      <c r="A2" t="s">
        <v>227</v>
      </c>
    </row>
    <row r="3">
      <c r="A3" t="s">
        <v>228</v>
      </c>
    </row>
    <row r="4">
      <c r="A4" t="s">
        <v>64</v>
      </c>
    </row>
    <row r="5">
      <c r="A5" t="s">
        <v>1</v>
      </c>
    </row>
    <row r="6">
      <c r="A6" t="s">
        <v>229</v>
      </c>
    </row>
    <row r="7">
      <c r="A7" t="s">
        <v>1</v>
      </c>
    </row>
    <row r="9">
      <c r="A9" t="s">
        <v>230</v>
      </c>
      <c r="B9" t="s">
        <v>231</v>
      </c>
      <c r="C9" t="s">
        <v>232</v>
      </c>
      <c r="D9" t="s">
        <v>233</v>
      </c>
      <c r="E9" t="s">
        <v>234</v>
      </c>
    </row>
    <row r="10">
      <c r="A10" t="s">
        <v>235</v>
      </c>
      <c r="B10" t="n">
        <v>12031000</v>
      </c>
      <c r="C10" t="s">
        <v>236</v>
      </c>
      <c r="D10" t="n">
        <v>600000000</v>
      </c>
      <c r="E10" t="s">
        <v>237</v>
      </c>
    </row>
    <row r="11">
      <c r="A11" t="s">
        <v>238</v>
      </c>
      <c r="B11" t="n">
        <v>1000000</v>
      </c>
      <c r="C11" t="s">
        <v>236</v>
      </c>
      <c r="D11" t="n">
        <v>40000000</v>
      </c>
      <c r="E11" t="s">
        <v>239</v>
      </c>
    </row>
    <row r="12">
      <c r="A12" t="s">
        <v>240</v>
      </c>
      <c r="B12" t="n">
        <v>4220000</v>
      </c>
      <c r="C12" t="s">
        <v>236</v>
      </c>
      <c r="D12" t="n">
        <v>125000000</v>
      </c>
      <c r="E12" t="s">
        <v>241</v>
      </c>
    </row>
    <row r="13">
      <c r="A13" t="s">
        <v>242</v>
      </c>
      <c r="B13" t="n">
        <v>0</v>
      </c>
      <c r="C13" t="s">
        <v>236</v>
      </c>
      <c r="D13" t="n">
        <v>0</v>
      </c>
      <c r="E13"/>
    </row>
    <row r="14">
      <c r="A14" t="s">
        <v>243</v>
      </c>
      <c r="B14" t="n">
        <v>0</v>
      </c>
      <c r="C14" t="s">
        <v>236</v>
      </c>
      <c r="D14" t="n">
        <v>0</v>
      </c>
      <c r="E14"/>
    </row>
    <row r="15">
      <c r="A15" t="s">
        <v>244</v>
      </c>
      <c r="B15" t="n">
        <v>10710000</v>
      </c>
      <c r="C15" t="s">
        <v>236</v>
      </c>
      <c r="D15" t="n">
        <v>330000000</v>
      </c>
      <c r="E15" t="s">
        <v>245</v>
      </c>
    </row>
    <row r="16">
      <c r="A16" t="s">
        <v>246</v>
      </c>
      <c r="B16" t="n">
        <v>0</v>
      </c>
      <c r="C16" t="s">
        <v>236</v>
      </c>
      <c r="D16" t="n">
        <v>0</v>
      </c>
      <c r="E16"/>
    </row>
    <row r="17">
      <c r="A17" t="s">
        <v>247</v>
      </c>
      <c r="B17" t="n">
        <v>0</v>
      </c>
      <c r="C17" t="s">
        <v>236</v>
      </c>
      <c r="D17" t="n">
        <v>0</v>
      </c>
      <c r="E17"/>
    </row>
    <row r="18">
      <c r="A18" t="s">
        <v>248</v>
      </c>
      <c r="B18" t="n">
        <v>0</v>
      </c>
      <c r="C18" t="s">
        <v>236</v>
      </c>
      <c r="D18" t="n">
        <v>0</v>
      </c>
      <c r="E18"/>
    </row>
    <row r="19">
      <c r="A19" t="s">
        <v>249</v>
      </c>
      <c r="B19" t="n">
        <v>0</v>
      </c>
      <c r="C19" t="s">
        <v>236</v>
      </c>
      <c r="D19" t="n">
        <v>0</v>
      </c>
      <c r="E19"/>
    </row>
    <row r="20">
      <c r="A20" t="s">
        <v>250</v>
      </c>
      <c r="B20" t="n">
        <v>0</v>
      </c>
      <c r="C20" t="s">
        <v>236</v>
      </c>
      <c r="D20" t="n">
        <v>0</v>
      </c>
      <c r="E20"/>
    </row>
    <row r="21">
      <c r="A21" t="s">
        <v>251</v>
      </c>
      <c r="B21" t="n">
        <v>0</v>
      </c>
      <c r="C21" t="s">
        <v>236</v>
      </c>
      <c r="D21" t="n">
        <v>0</v>
      </c>
      <c r="E21"/>
    </row>
    <row r="22">
      <c r="A22" t="s">
        <v>252</v>
      </c>
      <c r="B22" t="n">
        <v>0</v>
      </c>
      <c r="C22" t="s">
        <v>236</v>
      </c>
      <c r="D22" t="n">
        <v>0</v>
      </c>
      <c r="E22"/>
    </row>
    <row r="23">
      <c r="A23" t="s">
        <v>253</v>
      </c>
      <c r="B23" t="n">
        <v>45919000</v>
      </c>
      <c r="C23" t="s">
        <v>236</v>
      </c>
      <c r="D23" t="n">
        <v>1950000000</v>
      </c>
      <c r="E23" t="s">
        <v>254</v>
      </c>
    </row>
    <row r="24">
      <c r="A24" t="s">
        <v>255</v>
      </c>
      <c r="B24" t="n">
        <v>28820000</v>
      </c>
      <c r="C24" t="s">
        <v>236</v>
      </c>
      <c r="D24" t="n">
        <v>1210000000</v>
      </c>
      <c r="E24" t="s">
        <v>254</v>
      </c>
    </row>
    <row r="25">
      <c r="A25" t="s">
        <v>256</v>
      </c>
      <c r="B25" t="n">
        <v>0</v>
      </c>
      <c r="C25" t="s">
        <v>236</v>
      </c>
      <c r="D25" t="n">
        <v>0</v>
      </c>
      <c r="E25"/>
    </row>
    <row r="26">
      <c r="A26" t="s">
        <v>257</v>
      </c>
      <c r="B26" t="n">
        <v>0</v>
      </c>
      <c r="C26" t="s">
        <v>236</v>
      </c>
      <c r="D26" t="n">
        <v>0</v>
      </c>
      <c r="E26"/>
    </row>
    <row r="27">
      <c r="A27" t="s">
        <v>258</v>
      </c>
      <c r="B27" t="n">
        <v>36140000</v>
      </c>
      <c r="C27" t="s">
        <v>236</v>
      </c>
      <c r="D27" t="n">
        <v>1730000000</v>
      </c>
      <c r="E27" t="s">
        <v>259</v>
      </c>
    </row>
    <row r="28">
      <c r="A28" t="s">
        <v>260</v>
      </c>
      <c r="B28" t="n">
        <v>2720000</v>
      </c>
      <c r="C28" t="s">
        <v>236</v>
      </c>
      <c r="D28" t="n">
        <v>60000000</v>
      </c>
      <c r="E28" t="s">
        <v>261</v>
      </c>
    </row>
    <row r="29">
      <c r="A29" t="s">
        <v>262</v>
      </c>
      <c r="B29" t="n">
        <v>0</v>
      </c>
      <c r="C29" t="s">
        <v>236</v>
      </c>
      <c r="D29" t="n">
        <v>0</v>
      </c>
      <c r="E29"/>
    </row>
    <row r="30">
      <c r="A30" t="s">
        <v>263</v>
      </c>
      <c r="B30" t="n">
        <v>1320000</v>
      </c>
      <c r="C30" t="s">
        <v>236</v>
      </c>
      <c r="D30" t="n">
        <v>70000000</v>
      </c>
      <c r="E30" t="s">
        <v>264</v>
      </c>
    </row>
    <row r="31">
      <c r="A31" t="s">
        <v>265</v>
      </c>
      <c r="B31" t="n">
        <v>0</v>
      </c>
      <c r="C31" t="s">
        <v>236</v>
      </c>
      <c r="D31" t="n">
        <v>0</v>
      </c>
      <c r="E31"/>
    </row>
    <row r="32">
      <c r="A32" t="s">
        <v>266</v>
      </c>
      <c r="B32" t="n">
        <v>0</v>
      </c>
      <c r="C32" t="s">
        <v>236</v>
      </c>
      <c r="D32" t="n">
        <v>0</v>
      </c>
      <c r="E32"/>
    </row>
    <row r="33">
      <c r="A33" t="s">
        <v>267</v>
      </c>
      <c r="B33" t="n">
        <v>0</v>
      </c>
      <c r="C33" t="s">
        <v>236</v>
      </c>
      <c r="D33" t="n">
        <v>0</v>
      </c>
      <c r="E33"/>
    </row>
    <row r="34">
      <c r="A34" t="s">
        <v>268</v>
      </c>
      <c r="B34" t="n">
        <v>2800000</v>
      </c>
      <c r="C34" t="s">
        <v>236</v>
      </c>
      <c r="D34" t="n">
        <v>65000000</v>
      </c>
      <c r="E34" t="s">
        <v>269</v>
      </c>
    </row>
    <row r="35">
      <c r="A35" t="s">
        <v>270</v>
      </c>
      <c r="B35" t="n">
        <v>264000</v>
      </c>
      <c r="C35" t="s">
        <v>236</v>
      </c>
      <c r="D35" t="n">
        <v>12000000</v>
      </c>
      <c r="E35"/>
    </row>
    <row r="36">
      <c r="A36" t="s">
        <v>271</v>
      </c>
      <c r="B36" t="n">
        <v>38660000</v>
      </c>
      <c r="C36" t="s">
        <v>236</v>
      </c>
      <c r="D36" t="n">
        <v>590000000</v>
      </c>
      <c r="E36" t="s">
        <v>272</v>
      </c>
    </row>
    <row r="37">
      <c r="A37" t="s">
        <v>273</v>
      </c>
      <c r="B37" t="n">
        <v>0</v>
      </c>
      <c r="C37" t="s">
        <v>236</v>
      </c>
      <c r="D37" t="n">
        <v>0</v>
      </c>
      <c r="E37"/>
    </row>
    <row r="38">
      <c r="A38" t="s">
        <v>274</v>
      </c>
      <c r="B38" t="n">
        <v>0</v>
      </c>
      <c r="C38" t="s">
        <v>236</v>
      </c>
      <c r="D38" t="n">
        <v>0</v>
      </c>
      <c r="E38"/>
    </row>
    <row r="39">
      <c r="A39" t="s">
        <v>275</v>
      </c>
      <c r="B39" t="n">
        <v>0</v>
      </c>
      <c r="C39" t="s">
        <v>236</v>
      </c>
      <c r="D39" t="n">
        <v>0</v>
      </c>
      <c r="E39"/>
    </row>
    <row r="40">
      <c r="A40" t="s">
        <v>276</v>
      </c>
      <c r="B40" t="n">
        <v>0</v>
      </c>
      <c r="C40" t="s">
        <v>236</v>
      </c>
      <c r="D40" t="n">
        <v>0</v>
      </c>
      <c r="E40"/>
    </row>
    <row r="41">
      <c r="A41" t="s">
        <v>277</v>
      </c>
      <c r="B41" t="n">
        <v>10720000</v>
      </c>
      <c r="C41" t="s">
        <v>236</v>
      </c>
      <c r="D41" t="n">
        <v>260000000</v>
      </c>
      <c r="E41" t="s">
        <v>278</v>
      </c>
    </row>
    <row r="42">
      <c r="A42" t="s">
        <v>279</v>
      </c>
      <c r="B42" t="n">
        <v>0</v>
      </c>
      <c r="C42" t="s">
        <v>236</v>
      </c>
      <c r="D42" t="n">
        <v>0</v>
      </c>
      <c r="E42"/>
    </row>
    <row r="43">
      <c r="A43" t="s">
        <v>280</v>
      </c>
      <c r="B43" t="n">
        <v>0</v>
      </c>
      <c r="C43" t="s">
        <v>236</v>
      </c>
      <c r="D43" t="n">
        <v>0</v>
      </c>
      <c r="E43"/>
    </row>
    <row r="44">
      <c r="A44" t="s">
        <v>281</v>
      </c>
      <c r="B44" t="n">
        <v>27870000</v>
      </c>
      <c r="C44" t="s">
        <v>236</v>
      </c>
      <c r="D44" t="n">
        <v>560000000</v>
      </c>
      <c r="E44" t="s">
        <v>282</v>
      </c>
    </row>
    <row r="45">
      <c r="A45" t="s">
        <v>283</v>
      </c>
      <c r="B45" t="n">
        <v>8220000</v>
      </c>
      <c r="C45" t="s">
        <v>236</v>
      </c>
      <c r="D45" t="n">
        <v>430000000</v>
      </c>
      <c r="E45" t="s">
        <v>284</v>
      </c>
    </row>
    <row r="46">
      <c r="A46" t="s">
        <v>285</v>
      </c>
      <c r="B46" t="n">
        <v>930000</v>
      </c>
      <c r="C46" t="s">
        <v>236</v>
      </c>
      <c r="D46" t="n">
        <v>40000000</v>
      </c>
      <c r="E46"/>
    </row>
    <row r="47">
      <c r="A47" t="s">
        <v>286</v>
      </c>
      <c r="B47" t="n">
        <v>0</v>
      </c>
      <c r="C47" t="s">
        <v>236</v>
      </c>
      <c r="D47" t="n">
        <v>0</v>
      </c>
      <c r="E47"/>
    </row>
    <row r="48">
      <c r="A48" t="s">
        <v>287</v>
      </c>
      <c r="B48" t="n">
        <v>50110000</v>
      </c>
      <c r="C48" t="s">
        <v>236</v>
      </c>
      <c r="D48" t="n">
        <v>3000000000</v>
      </c>
      <c r="E48" t="s">
        <v>288</v>
      </c>
    </row>
    <row r="49">
      <c r="A49" t="s">
        <v>289</v>
      </c>
      <c r="B49" t="n">
        <v>0</v>
      </c>
      <c r="C49" t="s">
        <v>236</v>
      </c>
      <c r="D49" t="n">
        <v>0</v>
      </c>
      <c r="E49"/>
    </row>
    <row r="50">
      <c r="A50" t="s">
        <v>290</v>
      </c>
      <c r="B50" t="n">
        <v>0</v>
      </c>
      <c r="C50" t="s">
        <v>236</v>
      </c>
      <c r="D50" t="n">
        <v>0</v>
      </c>
      <c r="E50"/>
    </row>
    <row r="51">
      <c r="A51" t="s">
        <v>291</v>
      </c>
      <c r="B51" t="n">
        <v>0</v>
      </c>
      <c r="C51" t="s">
        <v>236</v>
      </c>
      <c r="D51" t="n">
        <v>0</v>
      </c>
      <c r="E51"/>
    </row>
    <row r="52">
      <c r="A52" t="s">
        <v>292</v>
      </c>
      <c r="B52" t="n">
        <v>400000</v>
      </c>
      <c r="C52" t="s">
        <v>236</v>
      </c>
      <c r="D52" t="n">
        <v>22000000</v>
      </c>
      <c r="E52" t="s">
        <v>293</v>
      </c>
    </row>
    <row r="53">
      <c r="A53" t="s">
        <v>294</v>
      </c>
      <c r="B53" t="n">
        <v>22820000</v>
      </c>
      <c r="C53" t="s">
        <v>236</v>
      </c>
      <c r="D53" t="n">
        <v>500000000</v>
      </c>
      <c r="E53" t="s">
        <v>261</v>
      </c>
    </row>
    <row r="54">
      <c r="A54" t="s">
        <v>295</v>
      </c>
      <c r="B54" t="n">
        <v>12810000</v>
      </c>
      <c r="C54" t="s">
        <v>236</v>
      </c>
      <c r="D54" t="n">
        <v>380000000</v>
      </c>
      <c r="E54" t="s">
        <v>296</v>
      </c>
    </row>
    <row r="55">
      <c r="A55" t="s">
        <v>297</v>
      </c>
      <c r="B55" t="n">
        <v>0</v>
      </c>
      <c r="C55" t="s">
        <v>236</v>
      </c>
      <c r="D55" t="n">
        <v>0</v>
      </c>
      <c r="E55"/>
    </row>
    <row r="56">
      <c r="A56" t="s">
        <v>298</v>
      </c>
      <c r="B56" t="n">
        <v>11480000</v>
      </c>
      <c r="C56" t="s">
        <v>236</v>
      </c>
      <c r="D56" t="n">
        <v>620000000</v>
      </c>
      <c r="E56" t="s">
        <v>299</v>
      </c>
    </row>
    <row r="57">
      <c r="A57" t="s">
        <v>300</v>
      </c>
      <c r="B57" t="n">
        <v>3050000</v>
      </c>
      <c r="C57" t="s">
        <v>236</v>
      </c>
      <c r="D57" t="n">
        <v>90000000</v>
      </c>
      <c r="E57" t="s">
        <v>301</v>
      </c>
    </row>
    <row r="58">
      <c r="A58" t="s">
        <v>302</v>
      </c>
      <c r="B58" t="n">
        <v>93320000</v>
      </c>
      <c r="C58" t="s">
        <v>236</v>
      </c>
      <c r="D58" t="n">
        <v>5050000000</v>
      </c>
      <c r="E58" t="s">
        <v>303</v>
      </c>
    </row>
    <row r="59">
      <c r="A59" t="s">
        <v>304</v>
      </c>
      <c r="B59" t="n">
        <v>0</v>
      </c>
      <c r="C59" t="s">
        <v>236</v>
      </c>
      <c r="D59" t="n">
        <v>0</v>
      </c>
      <c r="E59"/>
    </row>
    <row r="60">
      <c r="A60" t="s">
        <v>305</v>
      </c>
      <c r="B60" t="n">
        <v>276040000</v>
      </c>
      <c r="C60" t="s">
        <v>236</v>
      </c>
      <c r="D60" t="n">
        <v>3690000000</v>
      </c>
      <c r="E60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307</v>
      </c>
    </row>
    <row r="2">
      <c r="A2" t="s">
        <v>308</v>
      </c>
    </row>
    <row r="3">
      <c r="A3" t="s">
        <v>309</v>
      </c>
    </row>
    <row r="4">
      <c r="A4" t="s">
        <v>1</v>
      </c>
    </row>
    <row r="5">
      <c r="A5" t="s">
        <v>310</v>
      </c>
    </row>
    <row r="6">
      <c r="A6" t="s">
        <v>311</v>
      </c>
    </row>
    <row r="7">
      <c r="A7" t="s">
        <v>312</v>
      </c>
    </row>
    <row r="8">
      <c r="A8" t="s">
        <v>313</v>
      </c>
    </row>
    <row r="9">
      <c r="A9" t="s">
        <v>314</v>
      </c>
    </row>
    <row r="10">
      <c r="A10" t="s">
        <v>315</v>
      </c>
    </row>
    <row r="11">
      <c r="A11" t="s">
        <v>316</v>
      </c>
    </row>
    <row r="12">
      <c r="A12" t="s">
        <v>317</v>
      </c>
    </row>
    <row r="13">
      <c r="A13" t="s">
        <v>1</v>
      </c>
    </row>
    <row r="14">
      <c r="A14" t="s">
        <v>318</v>
      </c>
    </row>
    <row r="15">
      <c r="A15" t="s">
        <v>1</v>
      </c>
    </row>
    <row r="17">
      <c r="A17" t="s">
        <v>319</v>
      </c>
    </row>
    <row r="18">
      <c r="A18" t="s">
        <v>320</v>
      </c>
    </row>
    <row r="20">
      <c r="A20" t="s">
        <v>321</v>
      </c>
    </row>
    <row r="21">
      <c r="A21" t="s">
        <v>322</v>
      </c>
    </row>
    <row r="23">
      <c r="A23" t="s">
        <v>323</v>
      </c>
    </row>
    <row r="25">
      <c r="A25" t="s">
        <v>230</v>
      </c>
      <c r="B25" t="s">
        <v>324</v>
      </c>
      <c r="C25" t="s">
        <v>325</v>
      </c>
      <c r="D25" t="s">
        <v>326</v>
      </c>
      <c r="E25" t="s">
        <v>327</v>
      </c>
    </row>
    <row r="26">
      <c r="A26" t="s">
        <v>238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235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242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240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243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244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246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248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247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249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250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251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256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252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253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255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257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258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260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265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263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262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266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267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270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268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271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280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281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273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275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276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277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274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279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283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285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286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287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289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290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291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292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294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295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298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297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300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304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302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305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49.71" hidden="0" customWidth="1"/>
  </cols>
  <sheetData>
    <row r="1">
      <c r="A1" t="s">
        <v>328</v>
      </c>
    </row>
    <row r="2">
      <c r="A2" t="s">
        <v>1</v>
      </c>
    </row>
    <row r="3">
      <c r="A3" t="s">
        <v>329</v>
      </c>
    </row>
    <row r="4">
      <c r="A4" t="s">
        <v>330</v>
      </c>
    </row>
    <row r="5">
      <c r="A5" t="s">
        <v>331</v>
      </c>
    </row>
    <row r="6">
      <c r="A6" t="s">
        <v>1</v>
      </c>
    </row>
    <row r="8">
      <c r="A8" t="s">
        <v>332</v>
      </c>
      <c r="B8" t="s">
        <v>333</v>
      </c>
      <c r="C8" t="s">
        <v>334</v>
      </c>
      <c r="D8" t="s">
        <v>335</v>
      </c>
      <c r="E8" t="s">
        <v>336</v>
      </c>
      <c r="F8" t="s">
        <v>337</v>
      </c>
      <c r="G8" t="s">
        <v>338</v>
      </c>
    </row>
    <row r="9">
      <c r="A9" t="s">
        <v>121</v>
      </c>
      <c r="B9" t="s">
        <v>339</v>
      </c>
      <c r="C9" t="s">
        <v>340</v>
      </c>
      <c r="D9" t="s">
        <v>341</v>
      </c>
      <c r="E9" t="n">
        <v>1</v>
      </c>
      <c r="F9"/>
      <c r="G9"/>
    </row>
    <row r="10">
      <c r="A10" t="s">
        <v>122</v>
      </c>
      <c r="B10" t="s">
        <v>342</v>
      </c>
      <c r="C10" t="s">
        <v>340</v>
      </c>
      <c r="D10" t="s">
        <v>341</v>
      </c>
      <c r="E10" t="n">
        <v>1</v>
      </c>
      <c r="F10"/>
      <c r="G10"/>
    </row>
    <row r="11">
      <c r="A11" t="s">
        <v>123</v>
      </c>
      <c r="B11" t="s">
        <v>343</v>
      </c>
      <c r="C11" t="s">
        <v>344</v>
      </c>
      <c r="D11" t="s">
        <v>345</v>
      </c>
      <c r="E11" t="n">
        <v>1</v>
      </c>
      <c r="F11"/>
      <c r="G11"/>
    </row>
    <row r="12">
      <c r="A12" t="s">
        <v>125</v>
      </c>
      <c r="B12" t="s">
        <v>346</v>
      </c>
      <c r="C12" t="s">
        <v>347</v>
      </c>
      <c r="D12" t="s">
        <v>348</v>
      </c>
      <c r="E12" t="n">
        <v>1</v>
      </c>
      <c r="F12"/>
      <c r="G12"/>
    </row>
    <row r="13">
      <c r="A13" t="s">
        <v>126</v>
      </c>
      <c r="B13" t="s">
        <v>349</v>
      </c>
      <c r="C13" t="s">
        <v>350</v>
      </c>
      <c r="D13" t="s">
        <v>351</v>
      </c>
      <c r="E13" t="n">
        <v>0.72</v>
      </c>
      <c r="F13" t="s">
        <v>352</v>
      </c>
      <c r="G13"/>
    </row>
    <row r="14">
      <c r="A14" t="s">
        <v>126</v>
      </c>
      <c r="B14" t="s">
        <v>349</v>
      </c>
      <c r="C14" t="s">
        <v>353</v>
      </c>
      <c r="D14" t="s">
        <v>354</v>
      </c>
      <c r="E14" t="n">
        <v>0.2</v>
      </c>
      <c r="F14" t="s">
        <v>355</v>
      </c>
      <c r="G14"/>
    </row>
    <row r="15">
      <c r="A15" t="s">
        <v>126</v>
      </c>
      <c r="B15" t="s">
        <v>349</v>
      </c>
      <c r="C15" t="s">
        <v>356</v>
      </c>
      <c r="D15" t="s">
        <v>357</v>
      </c>
      <c r="E15" t="n">
        <v>0.08</v>
      </c>
      <c r="F15" t="s">
        <v>358</v>
      </c>
      <c r="G15"/>
    </row>
    <row r="16">
      <c r="A16" t="s">
        <v>127</v>
      </c>
      <c r="B16" t="s">
        <v>359</v>
      </c>
      <c r="C16" t="s">
        <v>360</v>
      </c>
      <c r="D16" t="s">
        <v>359</v>
      </c>
      <c r="E16" t="n">
        <v>1</v>
      </c>
      <c r="F16"/>
      <c r="G16"/>
    </row>
    <row r="17">
      <c r="A17" t="s">
        <v>139</v>
      </c>
      <c r="B17" t="s">
        <v>361</v>
      </c>
      <c r="C17" t="s">
        <v>362</v>
      </c>
      <c r="D17" t="s">
        <v>363</v>
      </c>
      <c r="E17" t="n">
        <v>1</v>
      </c>
      <c r="F17"/>
      <c r="G17"/>
    </row>
    <row r="18">
      <c r="A18" t="s">
        <v>140</v>
      </c>
      <c r="B18" t="s">
        <v>364</v>
      </c>
      <c r="C18" t="s">
        <v>365</v>
      </c>
      <c r="D18" t="s">
        <v>366</v>
      </c>
      <c r="E18" t="n">
        <v>1</v>
      </c>
      <c r="F18"/>
      <c r="G18"/>
    </row>
    <row r="19">
      <c r="A19" t="s">
        <v>141</v>
      </c>
      <c r="B19" t="s">
        <v>367</v>
      </c>
      <c r="C19" t="s">
        <v>365</v>
      </c>
      <c r="D19" t="s">
        <v>366</v>
      </c>
      <c r="E19" t="n">
        <v>1</v>
      </c>
      <c r="F19"/>
      <c r="G19"/>
    </row>
    <row r="20">
      <c r="A20" t="s">
        <v>128</v>
      </c>
      <c r="B20" t="s">
        <v>368</v>
      </c>
      <c r="C20" t="s">
        <v>369</v>
      </c>
      <c r="D20" t="s">
        <v>370</v>
      </c>
      <c r="E20" t="n">
        <v>1</v>
      </c>
      <c r="F20"/>
      <c r="G20"/>
    </row>
    <row r="21">
      <c r="A21" t="s">
        <v>142</v>
      </c>
      <c r="B21" t="s">
        <v>371</v>
      </c>
      <c r="C21" t="s">
        <v>372</v>
      </c>
      <c r="D21" t="s">
        <v>373</v>
      </c>
      <c r="E21" t="n">
        <v>1</v>
      </c>
      <c r="F21"/>
      <c r="G21"/>
    </row>
    <row r="22">
      <c r="A22" t="s">
        <v>143</v>
      </c>
      <c r="B22" t="s">
        <v>374</v>
      </c>
      <c r="C22" t="s">
        <v>372</v>
      </c>
      <c r="D22" t="s">
        <v>373</v>
      </c>
      <c r="E22" t="n">
        <v>1</v>
      </c>
      <c r="F22"/>
      <c r="G22"/>
    </row>
    <row r="23">
      <c r="A23" t="s">
        <v>144</v>
      </c>
      <c r="B23" t="s">
        <v>375</v>
      </c>
      <c r="C23" t="s">
        <v>376</v>
      </c>
      <c r="D23" t="s">
        <v>377</v>
      </c>
      <c r="E23" t="n">
        <v>0.961</v>
      </c>
      <c r="F23" t="s">
        <v>378</v>
      </c>
      <c r="G23"/>
    </row>
    <row r="24">
      <c r="A24" t="s">
        <v>144</v>
      </c>
      <c r="B24" t="s">
        <v>375</v>
      </c>
      <c r="C24" t="s">
        <v>379</v>
      </c>
      <c r="D24" t="s">
        <v>380</v>
      </c>
      <c r="E24" t="n">
        <v>0.039</v>
      </c>
      <c r="F24" t="s">
        <v>381</v>
      </c>
      <c r="G24"/>
    </row>
    <row r="25">
      <c r="A25" t="s">
        <v>146</v>
      </c>
      <c r="B25" t="s">
        <v>382</v>
      </c>
      <c r="C25" t="s">
        <v>126</v>
      </c>
      <c r="D25" t="s">
        <v>383</v>
      </c>
      <c r="E25" t="n">
        <v>1</v>
      </c>
      <c r="F25"/>
      <c r="G25"/>
    </row>
    <row r="26">
      <c r="A26" t="s">
        <v>131</v>
      </c>
      <c r="B26" t="s">
        <v>384</v>
      </c>
      <c r="C26" t="s">
        <v>385</v>
      </c>
      <c r="D26" t="s">
        <v>384</v>
      </c>
      <c r="E26" t="n">
        <v>1</v>
      </c>
      <c r="F26"/>
      <c r="G26"/>
    </row>
    <row r="27">
      <c r="A27" t="s">
        <v>132</v>
      </c>
      <c r="B27" t="s">
        <v>386</v>
      </c>
      <c r="C27" t="s">
        <v>387</v>
      </c>
      <c r="D27" t="s">
        <v>388</v>
      </c>
      <c r="E27" t="n">
        <v>1</v>
      </c>
      <c r="F27"/>
      <c r="G27"/>
    </row>
    <row r="28">
      <c r="A28" t="s">
        <v>133</v>
      </c>
      <c r="B28" t="s">
        <v>389</v>
      </c>
      <c r="C28" t="s">
        <v>390</v>
      </c>
      <c r="D28" t="s">
        <v>391</v>
      </c>
      <c r="E28" t="n">
        <v>1</v>
      </c>
      <c r="F28"/>
      <c r="G28"/>
    </row>
    <row r="29">
      <c r="A29" t="s">
        <v>134</v>
      </c>
      <c r="B29" t="s">
        <v>392</v>
      </c>
      <c r="C29" t="s">
        <v>393</v>
      </c>
      <c r="D29" t="s">
        <v>394</v>
      </c>
      <c r="E29" t="n">
        <v>1</v>
      </c>
      <c r="F29"/>
      <c r="G29"/>
    </row>
    <row r="30">
      <c r="A30" t="s">
        <v>135</v>
      </c>
      <c r="B30" t="s">
        <v>395</v>
      </c>
      <c r="C30" t="s">
        <v>396</v>
      </c>
      <c r="D30" t="s">
        <v>397</v>
      </c>
      <c r="E30" t="n">
        <v>1</v>
      </c>
      <c r="F30"/>
      <c r="G30"/>
    </row>
    <row r="31">
      <c r="A31" t="s">
        <v>136</v>
      </c>
      <c r="B31" t="s">
        <v>398</v>
      </c>
      <c r="C31" t="s">
        <v>399</v>
      </c>
      <c r="D31" t="s">
        <v>400</v>
      </c>
      <c r="E31" t="n">
        <v>1</v>
      </c>
      <c r="F31"/>
      <c r="G31"/>
    </row>
    <row r="32">
      <c r="A32" t="s">
        <v>137</v>
      </c>
      <c r="B32" t="s">
        <v>401</v>
      </c>
      <c r="C32" t="s">
        <v>402</v>
      </c>
      <c r="D32" t="s">
        <v>403</v>
      </c>
      <c r="E32" t="n">
        <v>1</v>
      </c>
      <c r="F32"/>
      <c r="G32"/>
    </row>
    <row r="33">
      <c r="A33" t="s">
        <v>138</v>
      </c>
      <c r="B33" t="s">
        <v>404</v>
      </c>
      <c r="C33" t="s">
        <v>402</v>
      </c>
      <c r="D33" t="s">
        <v>403</v>
      </c>
      <c r="E33" t="n">
        <v>1</v>
      </c>
      <c r="F33"/>
      <c r="G33"/>
    </row>
    <row r="34">
      <c r="A34" t="s">
        <v>147</v>
      </c>
      <c r="B34" t="s">
        <v>405</v>
      </c>
      <c r="C34" t="s">
        <v>406</v>
      </c>
      <c r="D34" t="s">
        <v>407</v>
      </c>
      <c r="E34" t="n">
        <v>1</v>
      </c>
      <c r="F34"/>
      <c r="G34"/>
    </row>
    <row r="35">
      <c r="A35" t="s">
        <v>148</v>
      </c>
      <c r="B35" t="s">
        <v>408</v>
      </c>
      <c r="C35" t="s">
        <v>406</v>
      </c>
      <c r="D35" t="s">
        <v>407</v>
      </c>
      <c r="E35" t="n">
        <v>1</v>
      </c>
      <c r="F35"/>
      <c r="G35"/>
    </row>
    <row r="36">
      <c r="A36" t="s">
        <v>149</v>
      </c>
      <c r="B36" t="s">
        <v>409</v>
      </c>
      <c r="C36" t="s">
        <v>406</v>
      </c>
      <c r="D36" t="s">
        <v>407</v>
      </c>
      <c r="E36" t="n">
        <v>1</v>
      </c>
      <c r="F36"/>
      <c r="G36"/>
    </row>
    <row r="37">
      <c r="A37" t="s">
        <v>150</v>
      </c>
      <c r="B37" t="s">
        <v>410</v>
      </c>
      <c r="C37" t="s">
        <v>406</v>
      </c>
      <c r="D37" t="s">
        <v>407</v>
      </c>
      <c r="E37" t="n">
        <v>1</v>
      </c>
      <c r="F37"/>
      <c r="G37"/>
    </row>
    <row r="38">
      <c r="A38" t="s">
        <v>151</v>
      </c>
      <c r="B38" t="s">
        <v>411</v>
      </c>
      <c r="C38" t="s">
        <v>406</v>
      </c>
      <c r="D38" t="s">
        <v>407</v>
      </c>
      <c r="E38" t="n">
        <v>1</v>
      </c>
      <c r="F38"/>
      <c r="G38"/>
    </row>
    <row r="39">
      <c r="A39" t="s">
        <v>152</v>
      </c>
      <c r="B39" t="s">
        <v>412</v>
      </c>
      <c r="C39" t="s">
        <v>413</v>
      </c>
      <c r="D39" t="s">
        <v>414</v>
      </c>
      <c r="E39" t="n">
        <v>1</v>
      </c>
      <c r="F39"/>
      <c r="G39"/>
    </row>
    <row r="40">
      <c r="A40" t="s">
        <v>153</v>
      </c>
      <c r="B40" t="s">
        <v>415</v>
      </c>
      <c r="C40" t="s">
        <v>413</v>
      </c>
      <c r="D40" t="s">
        <v>414</v>
      </c>
      <c r="E40" t="n">
        <v>1</v>
      </c>
      <c r="F40"/>
      <c r="G40"/>
    </row>
    <row r="41">
      <c r="A41" t="s">
        <v>154</v>
      </c>
      <c r="B41" t="s">
        <v>416</v>
      </c>
      <c r="C41" t="s">
        <v>413</v>
      </c>
      <c r="D41" t="s">
        <v>414</v>
      </c>
      <c r="E41" t="n">
        <v>1</v>
      </c>
      <c r="F41"/>
      <c r="G41"/>
    </row>
    <row r="42">
      <c r="A42" t="s">
        <v>155</v>
      </c>
      <c r="B42" t="s">
        <v>417</v>
      </c>
      <c r="C42" t="s">
        <v>413</v>
      </c>
      <c r="D42" t="s">
        <v>414</v>
      </c>
      <c r="E42" t="n">
        <v>1</v>
      </c>
      <c r="F42"/>
      <c r="G42"/>
    </row>
    <row r="43">
      <c r="A43" t="s">
        <v>156</v>
      </c>
      <c r="B43" t="s">
        <v>418</v>
      </c>
      <c r="C43" t="s">
        <v>413</v>
      </c>
      <c r="D43" t="s">
        <v>414</v>
      </c>
      <c r="E43" t="n">
        <v>1</v>
      </c>
      <c r="F43"/>
      <c r="G43"/>
    </row>
    <row r="44">
      <c r="A44" t="s">
        <v>157</v>
      </c>
      <c r="B44" t="s">
        <v>419</v>
      </c>
      <c r="C44" t="s">
        <v>353</v>
      </c>
      <c r="D44" t="s">
        <v>420</v>
      </c>
      <c r="E44" t="n">
        <v>1</v>
      </c>
      <c r="F44" t="s">
        <v>421</v>
      </c>
      <c r="G44"/>
    </row>
    <row r="45">
      <c r="A45" t="s">
        <v>158</v>
      </c>
      <c r="B45" t="s">
        <v>422</v>
      </c>
      <c r="C45" t="s">
        <v>413</v>
      </c>
      <c r="D45" t="s">
        <v>414</v>
      </c>
      <c r="E45" t="n">
        <v>1</v>
      </c>
      <c r="F45"/>
      <c r="G45"/>
    </row>
    <row r="46">
      <c r="A46" t="s">
        <v>159</v>
      </c>
      <c r="B46" t="s">
        <v>423</v>
      </c>
      <c r="C46" t="s">
        <v>413</v>
      </c>
      <c r="D46" t="s">
        <v>414</v>
      </c>
      <c r="E46" t="n">
        <v>1</v>
      </c>
      <c r="F46"/>
      <c r="G46"/>
    </row>
    <row r="47">
      <c r="A47" t="s">
        <v>160</v>
      </c>
      <c r="B47" t="s">
        <v>424</v>
      </c>
      <c r="C47" t="s">
        <v>425</v>
      </c>
      <c r="D47" t="s">
        <v>426</v>
      </c>
      <c r="E47" t="n">
        <v>1</v>
      </c>
      <c r="F47"/>
      <c r="G47"/>
    </row>
    <row r="48">
      <c r="A48" t="s">
        <v>161</v>
      </c>
      <c r="B48" t="s">
        <v>427</v>
      </c>
      <c r="C48" t="s">
        <v>425</v>
      </c>
      <c r="D48" t="s">
        <v>426</v>
      </c>
      <c r="E48" t="n">
        <v>1</v>
      </c>
      <c r="F48"/>
      <c r="G48"/>
    </row>
    <row r="49">
      <c r="A49" t="s">
        <v>162</v>
      </c>
      <c r="B49" t="s">
        <v>428</v>
      </c>
      <c r="C49" t="s">
        <v>425</v>
      </c>
      <c r="D49" t="s">
        <v>426</v>
      </c>
      <c r="E49" t="n">
        <v>0.25</v>
      </c>
      <c r="F49" t="s">
        <v>429</v>
      </c>
      <c r="G49"/>
    </row>
    <row r="50">
      <c r="A50" t="s">
        <v>162</v>
      </c>
      <c r="B50" t="s">
        <v>428</v>
      </c>
      <c r="C50" t="s">
        <v>177</v>
      </c>
      <c r="D50" t="s">
        <v>430</v>
      </c>
      <c r="E50" t="n">
        <v>0.75</v>
      </c>
      <c r="F50"/>
      <c r="G50"/>
    </row>
    <row r="51">
      <c r="A51" t="s">
        <v>163</v>
      </c>
      <c r="B51" t="s">
        <v>431</v>
      </c>
      <c r="C51" t="s">
        <v>432</v>
      </c>
      <c r="D51" t="s">
        <v>433</v>
      </c>
      <c r="E51" t="n">
        <v>1</v>
      </c>
      <c r="F51"/>
      <c r="G51"/>
    </row>
    <row r="52">
      <c r="A52" t="s">
        <v>164</v>
      </c>
      <c r="B52" t="s">
        <v>434</v>
      </c>
      <c r="C52" t="s">
        <v>435</v>
      </c>
      <c r="D52" t="s">
        <v>436</v>
      </c>
      <c r="E52" t="n">
        <v>1</v>
      </c>
      <c r="F52"/>
      <c r="G52"/>
    </row>
    <row r="53">
      <c r="A53" t="s">
        <v>165</v>
      </c>
      <c r="B53" t="s">
        <v>437</v>
      </c>
      <c r="C53" t="s">
        <v>435</v>
      </c>
      <c r="D53" t="s">
        <v>436</v>
      </c>
      <c r="E53" t="n">
        <v>1</v>
      </c>
      <c r="F53"/>
      <c r="G53"/>
    </row>
    <row r="54">
      <c r="A54" t="s">
        <v>166</v>
      </c>
      <c r="B54" t="s">
        <v>438</v>
      </c>
      <c r="C54" t="s">
        <v>435</v>
      </c>
      <c r="D54" t="s">
        <v>436</v>
      </c>
      <c r="E54" t="n">
        <v>1</v>
      </c>
      <c r="F54"/>
      <c r="G54"/>
    </row>
    <row r="55">
      <c r="A55" t="s">
        <v>167</v>
      </c>
      <c r="B55" t="s">
        <v>439</v>
      </c>
      <c r="C55" t="s">
        <v>435</v>
      </c>
      <c r="D55" t="s">
        <v>436</v>
      </c>
      <c r="E55" t="n">
        <v>1</v>
      </c>
      <c r="F55"/>
      <c r="G55"/>
    </row>
    <row r="56">
      <c r="A56" t="s">
        <v>168</v>
      </c>
      <c r="B56" t="s">
        <v>440</v>
      </c>
      <c r="C56" t="s">
        <v>441</v>
      </c>
      <c r="D56" t="s">
        <v>442</v>
      </c>
      <c r="E56" t="n">
        <v>1</v>
      </c>
      <c r="F56"/>
      <c r="G56"/>
    </row>
    <row r="57">
      <c r="A57" t="s">
        <v>169</v>
      </c>
      <c r="B57" t="s">
        <v>443</v>
      </c>
      <c r="C57" t="s">
        <v>441</v>
      </c>
      <c r="D57" t="s">
        <v>442</v>
      </c>
      <c r="E57" t="n">
        <v>1</v>
      </c>
      <c r="F57"/>
      <c r="G57"/>
    </row>
    <row r="58">
      <c r="A58" t="s">
        <v>170</v>
      </c>
      <c r="B58" t="s">
        <v>444</v>
      </c>
      <c r="C58" t="s">
        <v>445</v>
      </c>
      <c r="D58" t="s">
        <v>446</v>
      </c>
      <c r="E58" t="n">
        <v>1</v>
      </c>
      <c r="F58" t="s">
        <v>447</v>
      </c>
      <c r="G58"/>
    </row>
    <row r="59">
      <c r="A59" t="s">
        <v>171</v>
      </c>
      <c r="B59" t="s">
        <v>448</v>
      </c>
      <c r="C59" t="s">
        <v>445</v>
      </c>
      <c r="D59" t="s">
        <v>446</v>
      </c>
      <c r="E59" t="n">
        <v>1</v>
      </c>
      <c r="F59"/>
      <c r="G59"/>
    </row>
    <row r="60">
      <c r="A60" t="s">
        <v>173</v>
      </c>
      <c r="B60" t="s">
        <v>449</v>
      </c>
      <c r="C60" t="s">
        <v>445</v>
      </c>
      <c r="D60" t="s">
        <v>446</v>
      </c>
      <c r="E60" t="n">
        <v>1</v>
      </c>
      <c r="F60"/>
      <c r="G60"/>
    </row>
    <row r="61">
      <c r="A61" t="s">
        <v>172</v>
      </c>
      <c r="B61" t="s">
        <v>450</v>
      </c>
      <c r="C61" t="s">
        <v>432</v>
      </c>
      <c r="D61" t="s">
        <v>433</v>
      </c>
      <c r="E61" t="n">
        <v>1</v>
      </c>
      <c r="F61" t="s">
        <v>451</v>
      </c>
      <c r="G61"/>
    </row>
    <row r="62">
      <c r="A62" t="s">
        <v>174</v>
      </c>
      <c r="B62" t="s">
        <v>452</v>
      </c>
      <c r="C62" t="s">
        <v>445</v>
      </c>
      <c r="D62" t="s">
        <v>446</v>
      </c>
      <c r="E62" t="n">
        <v>1</v>
      </c>
      <c r="F62"/>
      <c r="G62"/>
    </row>
    <row r="63">
      <c r="A63" t="s">
        <v>175</v>
      </c>
      <c r="B63" t="s">
        <v>453</v>
      </c>
      <c r="C63" t="s">
        <v>445</v>
      </c>
      <c r="D63" t="s">
        <v>446</v>
      </c>
      <c r="E63" t="n">
        <v>1</v>
      </c>
      <c r="F63"/>
      <c r="G63"/>
    </row>
    <row r="64">
      <c r="A64" t="s">
        <v>176</v>
      </c>
      <c r="B64" t="s">
        <v>454</v>
      </c>
      <c r="C64" t="s">
        <v>356</v>
      </c>
      <c r="D64" t="s">
        <v>455</v>
      </c>
      <c r="E64" t="n">
        <v>1</v>
      </c>
      <c r="F64"/>
      <c r="G64"/>
    </row>
    <row r="65">
      <c r="A65" t="s">
        <v>177</v>
      </c>
      <c r="B65" t="s">
        <v>456</v>
      </c>
      <c r="C65" t="s">
        <v>457</v>
      </c>
      <c r="D65" t="s">
        <v>458</v>
      </c>
      <c r="E65" t="n">
        <v>1</v>
      </c>
      <c r="F65"/>
      <c r="G65"/>
    </row>
    <row r="66">
      <c r="A66" t="s">
        <v>178</v>
      </c>
      <c r="B66" t="s">
        <v>459</v>
      </c>
      <c r="C66" t="s">
        <v>460</v>
      </c>
      <c r="D66" t="s">
        <v>461</v>
      </c>
      <c r="E66" t="n">
        <v>1</v>
      </c>
      <c r="F66"/>
      <c r="G66"/>
    </row>
    <row r="67">
      <c r="A67" t="s">
        <v>179</v>
      </c>
      <c r="B67" t="s">
        <v>462</v>
      </c>
      <c r="C67" t="s">
        <v>460</v>
      </c>
      <c r="D67" t="s">
        <v>461</v>
      </c>
      <c r="E67" t="n">
        <v>1</v>
      </c>
      <c r="F67"/>
      <c r="G67"/>
    </row>
    <row r="68">
      <c r="A68" t="s">
        <v>180</v>
      </c>
      <c r="B68" t="s">
        <v>463</v>
      </c>
      <c r="C68" t="s">
        <v>460</v>
      </c>
      <c r="D68" t="s">
        <v>461</v>
      </c>
      <c r="E68" t="n">
        <v>1</v>
      </c>
      <c r="F68"/>
      <c r="G68"/>
    </row>
    <row r="69">
      <c r="A69" t="s">
        <v>181</v>
      </c>
      <c r="B69" t="s">
        <v>464</v>
      </c>
      <c r="C69" t="s">
        <v>460</v>
      </c>
      <c r="D69" t="s">
        <v>461</v>
      </c>
      <c r="E69" t="n">
        <v>1</v>
      </c>
      <c r="F69"/>
      <c r="G69"/>
    </row>
    <row r="70">
      <c r="A70" t="s">
        <v>182</v>
      </c>
      <c r="B70" t="s">
        <v>465</v>
      </c>
      <c r="C70" t="s">
        <v>466</v>
      </c>
      <c r="D70" t="s">
        <v>467</v>
      </c>
      <c r="E70" t="n">
        <v>1</v>
      </c>
      <c r="F70"/>
      <c r="G70"/>
    </row>
    <row r="71">
      <c r="A71" t="s">
        <v>183</v>
      </c>
      <c r="B71" t="s">
        <v>468</v>
      </c>
      <c r="C71" t="s">
        <v>466</v>
      </c>
      <c r="D71" t="s">
        <v>467</v>
      </c>
      <c r="E71" t="n">
        <v>1</v>
      </c>
      <c r="F71"/>
      <c r="G71"/>
    </row>
    <row r="72">
      <c r="A72" t="s">
        <v>184</v>
      </c>
      <c r="B72" t="s">
        <v>469</v>
      </c>
      <c r="C72" t="s">
        <v>470</v>
      </c>
      <c r="D72" t="s">
        <v>471</v>
      </c>
      <c r="E72" t="n">
        <v>1</v>
      </c>
      <c r="F72"/>
      <c r="G72"/>
    </row>
    <row r="73">
      <c r="A73" t="s">
        <v>185</v>
      </c>
      <c r="B73" t="s">
        <v>472</v>
      </c>
      <c r="C73" t="s">
        <v>470</v>
      </c>
      <c r="D73" t="s">
        <v>471</v>
      </c>
      <c r="E73" t="n">
        <v>1</v>
      </c>
      <c r="F73"/>
      <c r="G73"/>
    </row>
    <row r="74">
      <c r="A74" t="s">
        <v>186</v>
      </c>
      <c r="B74" t="s">
        <v>473</v>
      </c>
      <c r="C74" t="s">
        <v>466</v>
      </c>
      <c r="D74" t="s">
        <v>467</v>
      </c>
      <c r="E74" t="n">
        <v>1</v>
      </c>
      <c r="F74"/>
      <c r="G74"/>
    </row>
    <row r="75">
      <c r="A75" t="s">
        <v>187</v>
      </c>
      <c r="B75" t="s">
        <v>474</v>
      </c>
      <c r="C75" t="s">
        <v>475</v>
      </c>
      <c r="D75" t="s">
        <v>476</v>
      </c>
      <c r="E75" t="n">
        <v>1</v>
      </c>
      <c r="F75"/>
      <c r="G75"/>
    </row>
    <row r="76">
      <c r="A76" t="s">
        <v>188</v>
      </c>
      <c r="B76" t="s">
        <v>477</v>
      </c>
      <c r="C76" t="s">
        <v>475</v>
      </c>
      <c r="D76" t="s">
        <v>476</v>
      </c>
      <c r="E76" t="n">
        <v>1</v>
      </c>
      <c r="F76"/>
      <c r="G76"/>
    </row>
    <row r="77">
      <c r="A77" t="s">
        <v>189</v>
      </c>
      <c r="B77" t="s">
        <v>478</v>
      </c>
      <c r="C77" t="s">
        <v>475</v>
      </c>
      <c r="D77" t="s">
        <v>476</v>
      </c>
      <c r="E77" t="n">
        <v>1</v>
      </c>
      <c r="F77"/>
      <c r="G77"/>
    </row>
    <row r="78">
      <c r="A78" t="s">
        <v>190</v>
      </c>
      <c r="B78" t="s">
        <v>479</v>
      </c>
      <c r="C78" t="s">
        <v>475</v>
      </c>
      <c r="D78" t="s">
        <v>476</v>
      </c>
      <c r="E78" t="n">
        <v>1</v>
      </c>
      <c r="F78"/>
      <c r="G78"/>
    </row>
    <row r="79">
      <c r="A79" t="s">
        <v>191</v>
      </c>
      <c r="B79" t="s">
        <v>480</v>
      </c>
      <c r="C79" t="s">
        <v>475</v>
      </c>
      <c r="D79" t="s">
        <v>476</v>
      </c>
      <c r="E79" t="n">
        <v>1</v>
      </c>
      <c r="F79"/>
      <c r="G79"/>
    </row>
    <row r="80">
      <c r="A80" t="s">
        <v>124</v>
      </c>
      <c r="B80" t="s">
        <v>481</v>
      </c>
      <c r="C80" t="s">
        <v>482</v>
      </c>
      <c r="D80" t="s">
        <v>483</v>
      </c>
      <c r="E80" t="n">
        <v>0</v>
      </c>
      <c r="F80"/>
      <c r="G80" t="s">
        <v>484</v>
      </c>
    </row>
    <row r="81">
      <c r="A81" t="s">
        <v>124</v>
      </c>
      <c r="B81" t="s">
        <v>481</v>
      </c>
      <c r="C81" t="s">
        <v>485</v>
      </c>
      <c r="D81" t="s">
        <v>486</v>
      </c>
      <c r="E81" t="n">
        <v>1</v>
      </c>
      <c r="F81"/>
      <c r="G81" t="s">
        <v>484</v>
      </c>
    </row>
    <row r="82">
      <c r="A82" t="s">
        <v>129</v>
      </c>
      <c r="B82" t="s">
        <v>487</v>
      </c>
      <c r="C82" t="s">
        <v>488</v>
      </c>
      <c r="D82" t="s">
        <v>489</v>
      </c>
      <c r="E82" t="n">
        <v>0.1</v>
      </c>
      <c r="F82"/>
      <c r="G82" t="s">
        <v>490</v>
      </c>
    </row>
    <row r="83">
      <c r="A83" t="s">
        <v>129</v>
      </c>
      <c r="B83" t="s">
        <v>487</v>
      </c>
      <c r="C83" t="s">
        <v>491</v>
      </c>
      <c r="D83" t="s">
        <v>492</v>
      </c>
      <c r="E83" t="n">
        <v>0.9</v>
      </c>
      <c r="F83"/>
      <c r="G83" t="s">
        <v>490</v>
      </c>
    </row>
    <row r="84">
      <c r="A84" t="s">
        <v>130</v>
      </c>
      <c r="B84" t="s">
        <v>493</v>
      </c>
      <c r="C84" t="s">
        <v>379</v>
      </c>
      <c r="D84" t="s">
        <v>380</v>
      </c>
      <c r="E84" t="n">
        <v>0.5</v>
      </c>
      <c r="F84"/>
      <c r="G84" t="s">
        <v>494</v>
      </c>
    </row>
    <row r="85">
      <c r="A85" t="s">
        <v>130</v>
      </c>
      <c r="B85" t="s">
        <v>493</v>
      </c>
      <c r="C85" t="s">
        <v>495</v>
      </c>
      <c r="D85" t="s">
        <v>496</v>
      </c>
      <c r="E85" t="n">
        <v>0.5</v>
      </c>
      <c r="F85"/>
      <c r="G85" t="s">
        <v>494</v>
      </c>
    </row>
    <row r="86">
      <c r="A86" t="s">
        <v>145</v>
      </c>
      <c r="B86" t="s">
        <v>497</v>
      </c>
      <c r="C86" t="s">
        <v>498</v>
      </c>
      <c r="D86" t="s">
        <v>499</v>
      </c>
      <c r="E86" t="n">
        <v>0.9</v>
      </c>
      <c r="F86"/>
      <c r="G86" t="s">
        <v>500</v>
      </c>
    </row>
    <row r="87">
      <c r="A87" t="s">
        <v>145</v>
      </c>
      <c r="B87" t="s">
        <v>497</v>
      </c>
      <c r="C87" t="s">
        <v>501</v>
      </c>
      <c r="D87" t="s">
        <v>502</v>
      </c>
      <c r="E87" t="n">
        <v>0.1</v>
      </c>
      <c r="F87"/>
      <c r="G87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503</v>
      </c>
    </row>
    <row r="2">
      <c r="A2" t="s">
        <v>1</v>
      </c>
    </row>
    <row r="3">
      <c r="A3" t="s">
        <v>504</v>
      </c>
    </row>
    <row r="4">
      <c r="A4" t="s">
        <v>505</v>
      </c>
    </row>
    <row r="5">
      <c r="A5" t="s">
        <v>506</v>
      </c>
    </row>
    <row r="6">
      <c r="A6" t="s">
        <v>507</v>
      </c>
    </row>
    <row r="7">
      <c r="A7" t="s">
        <v>508</v>
      </c>
    </row>
    <row r="8">
      <c r="A8" t="s">
        <v>509</v>
      </c>
    </row>
    <row r="9">
      <c r="A9" t="s">
        <v>1</v>
      </c>
    </row>
    <row r="11">
      <c r="A11" t="s">
        <v>332</v>
      </c>
      <c r="B11" t="s">
        <v>334</v>
      </c>
      <c r="C11" t="s">
        <v>336</v>
      </c>
      <c r="D11" t="s">
        <v>338</v>
      </c>
    </row>
    <row r="12">
      <c r="A12" t="n">
        <v>212</v>
      </c>
      <c r="B12" t="s">
        <v>482</v>
      </c>
      <c r="C12" t="n">
        <v>0</v>
      </c>
      <c r="D12" t="s">
        <v>484</v>
      </c>
    </row>
    <row r="13">
      <c r="A13" t="n">
        <v>212</v>
      </c>
      <c r="B13" t="s">
        <v>485</v>
      </c>
      <c r="C13" t="n">
        <v>1</v>
      </c>
      <c r="D13" t="s">
        <v>484</v>
      </c>
    </row>
    <row r="14">
      <c r="A14" t="n">
        <v>327</v>
      </c>
      <c r="B14" t="s">
        <v>488</v>
      </c>
      <c r="C14" t="n">
        <v>0.1</v>
      </c>
      <c r="D14" t="s">
        <v>490</v>
      </c>
    </row>
    <row r="15">
      <c r="A15" t="n">
        <v>327</v>
      </c>
      <c r="B15" t="s">
        <v>491</v>
      </c>
      <c r="C15" t="n">
        <v>0.9</v>
      </c>
      <c r="D15" t="s">
        <v>490</v>
      </c>
    </row>
    <row r="16">
      <c r="A16" t="n">
        <v>331</v>
      </c>
      <c r="B16" t="s">
        <v>379</v>
      </c>
      <c r="C16" t="n">
        <v>0.5</v>
      </c>
      <c r="D16" t="s">
        <v>494</v>
      </c>
    </row>
    <row r="17">
      <c r="A17" t="n">
        <v>331</v>
      </c>
      <c r="B17" t="s">
        <v>495</v>
      </c>
      <c r="C17" t="n">
        <v>0.5</v>
      </c>
      <c r="D17" t="s">
        <v>494</v>
      </c>
    </row>
    <row r="18">
      <c r="A18" t="n">
        <v>325</v>
      </c>
      <c r="B18" t="s">
        <v>498</v>
      </c>
      <c r="C18" t="n">
        <v>0.9</v>
      </c>
      <c r="D18" t="s">
        <v>500</v>
      </c>
    </row>
    <row r="19">
      <c r="A19" t="n">
        <v>325</v>
      </c>
      <c r="B19" t="s">
        <v>501</v>
      </c>
      <c r="C19" t="n">
        <v>0.1</v>
      </c>
      <c r="D19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510</v>
      </c>
    </row>
    <row r="2">
      <c r="A2" t="s">
        <v>511</v>
      </c>
    </row>
    <row r="3">
      <c r="A3" t="s">
        <v>512</v>
      </c>
    </row>
    <row r="4">
      <c r="A4" t="s">
        <v>513</v>
      </c>
    </row>
    <row r="5">
      <c r="A5" t="s">
        <v>1</v>
      </c>
    </row>
    <row r="7">
      <c r="A7" t="s">
        <v>514</v>
      </c>
      <c r="B7" t="s">
        <v>515</v>
      </c>
      <c r="C7" t="s">
        <v>516</v>
      </c>
    </row>
    <row r="8">
      <c r="A8" t="s">
        <v>340</v>
      </c>
      <c r="B8" t="s">
        <v>517</v>
      </c>
      <c r="C8" t="s">
        <v>518</v>
      </c>
    </row>
    <row r="9">
      <c r="A9" t="s">
        <v>482</v>
      </c>
      <c r="B9" t="s">
        <v>483</v>
      </c>
      <c r="C9" t="s">
        <v>519</v>
      </c>
    </row>
    <row r="10">
      <c r="A10" t="s">
        <v>344</v>
      </c>
      <c r="B10" t="s">
        <v>345</v>
      </c>
      <c r="C10" t="s">
        <v>520</v>
      </c>
    </row>
    <row r="11">
      <c r="A11" t="s">
        <v>485</v>
      </c>
      <c r="B11" t="s">
        <v>521</v>
      </c>
      <c r="C11" t="s">
        <v>522</v>
      </c>
    </row>
    <row r="12">
      <c r="A12" t="s">
        <v>347</v>
      </c>
      <c r="B12" t="s">
        <v>348</v>
      </c>
      <c r="C12" t="s">
        <v>523</v>
      </c>
    </row>
    <row r="13">
      <c r="A13" t="s">
        <v>362</v>
      </c>
      <c r="B13" t="s">
        <v>524</v>
      </c>
      <c r="C13" t="s">
        <v>525</v>
      </c>
    </row>
    <row r="14">
      <c r="A14" t="s">
        <v>365</v>
      </c>
      <c r="B14" t="s">
        <v>526</v>
      </c>
      <c r="C14" t="s">
        <v>527</v>
      </c>
    </row>
    <row r="15">
      <c r="A15" t="s">
        <v>369</v>
      </c>
      <c r="B15" t="s">
        <v>528</v>
      </c>
      <c r="C15" t="s">
        <v>529</v>
      </c>
    </row>
    <row r="16">
      <c r="A16" t="s">
        <v>372</v>
      </c>
      <c r="B16" t="s">
        <v>373</v>
      </c>
      <c r="C16" t="s">
        <v>530</v>
      </c>
    </row>
    <row r="17">
      <c r="A17" t="s">
        <v>376</v>
      </c>
      <c r="B17" t="s">
        <v>377</v>
      </c>
      <c r="C17" t="s">
        <v>531</v>
      </c>
    </row>
    <row r="18">
      <c r="A18" t="s">
        <v>498</v>
      </c>
      <c r="B18" t="s">
        <v>532</v>
      </c>
      <c r="C18" t="s">
        <v>533</v>
      </c>
    </row>
    <row r="19">
      <c r="A19" t="s">
        <v>501</v>
      </c>
      <c r="B19" t="s">
        <v>534</v>
      </c>
      <c r="C19" t="s">
        <v>535</v>
      </c>
    </row>
    <row r="20">
      <c r="A20" t="s">
        <v>126</v>
      </c>
      <c r="B20" t="s">
        <v>383</v>
      </c>
      <c r="C20" t="s">
        <v>536</v>
      </c>
    </row>
    <row r="21">
      <c r="A21" t="s">
        <v>488</v>
      </c>
      <c r="B21" t="s">
        <v>537</v>
      </c>
      <c r="C21" t="s">
        <v>538</v>
      </c>
    </row>
    <row r="22">
      <c r="A22" t="s">
        <v>491</v>
      </c>
      <c r="B22" t="s">
        <v>539</v>
      </c>
      <c r="C22" t="s">
        <v>540</v>
      </c>
    </row>
    <row r="23">
      <c r="A23" t="s">
        <v>379</v>
      </c>
      <c r="B23" t="s">
        <v>541</v>
      </c>
      <c r="C23" t="s">
        <v>542</v>
      </c>
    </row>
    <row r="24">
      <c r="A24" t="s">
        <v>495</v>
      </c>
      <c r="B24" t="s">
        <v>543</v>
      </c>
      <c r="C24" t="s">
        <v>544</v>
      </c>
    </row>
    <row r="25">
      <c r="A25" t="s">
        <v>385</v>
      </c>
      <c r="B25" t="s">
        <v>545</v>
      </c>
      <c r="C25" t="s">
        <v>546</v>
      </c>
    </row>
    <row r="26">
      <c r="A26" t="s">
        <v>390</v>
      </c>
      <c r="B26" t="s">
        <v>391</v>
      </c>
      <c r="C26" t="s">
        <v>547</v>
      </c>
    </row>
    <row r="27">
      <c r="A27" t="s">
        <v>393</v>
      </c>
      <c r="B27" t="s">
        <v>394</v>
      </c>
      <c r="C27" t="s">
        <v>548</v>
      </c>
    </row>
    <row r="28">
      <c r="A28" t="s">
        <v>387</v>
      </c>
      <c r="B28" t="s">
        <v>388</v>
      </c>
      <c r="C28" t="s">
        <v>549</v>
      </c>
    </row>
    <row r="29">
      <c r="A29" t="s">
        <v>396</v>
      </c>
      <c r="B29" t="s">
        <v>550</v>
      </c>
      <c r="C29" t="s">
        <v>551</v>
      </c>
    </row>
    <row r="30">
      <c r="A30" t="s">
        <v>399</v>
      </c>
      <c r="B30" t="s">
        <v>400</v>
      </c>
      <c r="C30" t="s">
        <v>552</v>
      </c>
    </row>
    <row r="31">
      <c r="A31" t="s">
        <v>402</v>
      </c>
      <c r="B31" t="s">
        <v>553</v>
      </c>
      <c r="C31" t="s">
        <v>554</v>
      </c>
    </row>
    <row r="32">
      <c r="A32" t="s">
        <v>350</v>
      </c>
      <c r="B32" t="s">
        <v>555</v>
      </c>
      <c r="C32" t="s">
        <v>556</v>
      </c>
    </row>
    <row r="33">
      <c r="A33" t="s">
        <v>353</v>
      </c>
      <c r="B33" t="s">
        <v>557</v>
      </c>
      <c r="C33" t="s">
        <v>558</v>
      </c>
    </row>
    <row r="34">
      <c r="A34" t="s">
        <v>356</v>
      </c>
      <c r="B34" t="s">
        <v>559</v>
      </c>
      <c r="C34" t="s">
        <v>560</v>
      </c>
    </row>
    <row r="35">
      <c r="A35" t="s">
        <v>360</v>
      </c>
      <c r="B35" t="s">
        <v>359</v>
      </c>
      <c r="C35" t="s">
        <v>561</v>
      </c>
    </row>
    <row r="36">
      <c r="A36" t="s">
        <v>406</v>
      </c>
      <c r="B36" t="s">
        <v>562</v>
      </c>
      <c r="C36" t="s">
        <v>563</v>
      </c>
    </row>
    <row r="37">
      <c r="A37" t="s">
        <v>413</v>
      </c>
      <c r="B37" t="s">
        <v>414</v>
      </c>
      <c r="C37" t="s">
        <v>564</v>
      </c>
    </row>
    <row r="38">
      <c r="A38" t="s">
        <v>470</v>
      </c>
      <c r="B38" t="s">
        <v>565</v>
      </c>
      <c r="C38" t="s">
        <v>566</v>
      </c>
    </row>
    <row r="39">
      <c r="A39" t="s">
        <v>425</v>
      </c>
      <c r="B39" t="s">
        <v>567</v>
      </c>
      <c r="C39" t="s">
        <v>568</v>
      </c>
    </row>
    <row r="40">
      <c r="A40" t="s">
        <v>177</v>
      </c>
      <c r="B40" t="s">
        <v>430</v>
      </c>
      <c r="C40" t="s">
        <v>569</v>
      </c>
    </row>
    <row r="41">
      <c r="A41" t="s">
        <v>432</v>
      </c>
      <c r="B41" t="s">
        <v>433</v>
      </c>
      <c r="C41" t="s">
        <v>570</v>
      </c>
    </row>
    <row r="42">
      <c r="A42" t="s">
        <v>435</v>
      </c>
      <c r="B42" t="s">
        <v>571</v>
      </c>
      <c r="C42" t="s">
        <v>572</v>
      </c>
    </row>
    <row r="43">
      <c r="A43" t="s">
        <v>441</v>
      </c>
      <c r="B43" t="s">
        <v>442</v>
      </c>
      <c r="C43" t="s">
        <v>573</v>
      </c>
    </row>
    <row r="44">
      <c r="A44" t="s">
        <v>445</v>
      </c>
      <c r="B44" t="s">
        <v>574</v>
      </c>
      <c r="C44" t="s">
        <v>575</v>
      </c>
    </row>
    <row r="45">
      <c r="A45" t="s">
        <v>475</v>
      </c>
      <c r="B45" t="s">
        <v>576</v>
      </c>
      <c r="C45" t="s">
        <v>577</v>
      </c>
    </row>
    <row r="46">
      <c r="A46" t="s">
        <v>457</v>
      </c>
      <c r="B46" t="s">
        <v>458</v>
      </c>
      <c r="C46" t="s">
        <v>578</v>
      </c>
    </row>
    <row r="47">
      <c r="A47" t="s">
        <v>460</v>
      </c>
      <c r="B47" t="s">
        <v>579</v>
      </c>
      <c r="C47" t="s">
        <v>580</v>
      </c>
    </row>
    <row r="48">
      <c r="A48" t="s">
        <v>466</v>
      </c>
      <c r="B48" t="s">
        <v>581</v>
      </c>
      <c r="C48" t="s">
        <v>582</v>
      </c>
    </row>
    <row r="49">
      <c r="A49" t="s">
        <v>583</v>
      </c>
      <c r="B49" t="s">
        <v>584</v>
      </c>
      <c r="C49" t="s">
        <v>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IFERROR(INDEX('1_DCS_numerator_by_BEA'!$B$2:$B$74, MATCH($A3, '1_DCS_numerator_by_BEA'!$A$2:$A$74,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IFERROR(INDEX('1_DCS_numerator_by_BEA'!$B$2:$B$74, MATCH($A4, '1_DCS_numerator_by_BEA'!$A$2:$A$74,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IFERROR(INDEX('1_DCS_numerator_by_BEA'!$B$2:$B$74, MATCH($A5, '1_DCS_numerator_by_BEA'!$A$2:$A$74,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IFERROR(INDEX('1_DCS_numerator_by_BEA'!$B$2:$B$74, MATCH($A6, '1_DCS_numerator_by_BEA'!$A$2:$A$74,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IFERROR(INDEX('1_DCS_numerator_by_BEA'!$B$2:$B$74, MATCH($A7, '1_DCS_numerator_by_BEA'!$A$2:$A$74,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IFERROR(INDEX('1_DCS_numerator_by_BEA'!$B$2:$B$74, MATCH($A8, '1_DCS_numerator_by_BEA'!$A$2:$A$74,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IFERROR(INDEX('1_DCS_numerator_by_BEA'!$B$2:$B$74, MATCH($A9, '1_DCS_numerator_by_BEA'!$A$2:$A$74,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IFERROR(INDEX('1_DCS_numerator_by_BEA'!$B$2:$B$74, MATCH($A10, '1_DCS_numerator_by_BEA'!$A$2:$A$74,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IFERROR(INDEX('1_DCS_numerator_by_BEA'!$B$2:$B$74, MATCH($A11, '1_DCS_numerator_by_BEA'!$A$2:$A$74,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IFERROR(INDEX('1_DCS_numerator_by_BEA'!$B$2:$B$74, MATCH($A12, '1_DCS_numerator_by_BEA'!$A$2:$A$74,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IFERROR(INDEX('1_DCS_numerator_by_BEA'!$B$2:$B$74, MATCH($A13, '1_DCS_numerator_by_BEA'!$A$2:$A$74,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IFERROR(INDEX('1_DCS_numerator_by_BEA'!$B$2:$B$74, MATCH($A14, '1_DCS_numerator_by_BEA'!$A$2:$A$74,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IFERROR(INDEX('1_DCS_numerator_by_BEA'!$B$2:$B$74, MATCH($A15, '1_DCS_numerator_by_BEA'!$A$2:$A$74,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IFERROR(INDEX('1_DCS_numerator_by_BEA'!$B$2:$B$74, MATCH($A16, '1_DCS_numerator_by_BEA'!$A$2:$A$74,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IFERROR(INDEX('1_DCS_numerator_by_BEA'!$B$2:$B$74, MATCH($A17, '1_DCS_numerator_by_BEA'!$A$2:$A$74,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IFERROR(INDEX('1_DCS_numerator_by_BEA'!$B$2:$B$74, MATCH($A18, '1_DCS_numerator_by_BEA'!$A$2:$A$74,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IFERROR(INDEX('1_DCS_numerator_by_BEA'!$B$2:$B$74, MATCH($A19, '1_DCS_numerator_by_BEA'!$A$2:$A$74,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IFERROR(INDEX('1_DCS_numerator_by_BEA'!$B$2:$B$74, MATCH($A20, '1_DCS_numerator_by_BEA'!$A$2:$A$74,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IFERROR(INDEX('1_DCS_numerator_by_BEA'!$B$2:$B$74, MATCH($A21, '1_DCS_numerator_by_BEA'!$A$2:$A$74,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IFERROR(INDEX('1_DCS_numerator_by_BEA'!$B$2:$B$74, MATCH($A22, '1_DCS_numerator_by_BEA'!$A$2:$A$74,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IFERROR(INDEX('1_DCS_numerator_by_BEA'!$B$2:$B$74, MATCH($A23, '1_DCS_numerator_by_BEA'!$A$2:$A$74,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IFERROR(INDEX('1_DCS_numerator_by_BEA'!$B$2:$B$74, MATCH($A24, '1_DCS_numerator_by_BEA'!$A$2:$A$74,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IFERROR(INDEX('1_DCS_numerator_by_BEA'!$B$2:$B$74, MATCH($A25, '1_DCS_numerator_by_BEA'!$A$2:$A$74,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IFERROR(INDEX('1_DCS_numerator_by_BEA'!$B$2:$B$74, MATCH($A26, '1_DCS_numerator_by_BEA'!$A$2:$A$74,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IFERROR(INDEX('1_DCS_numerator_by_BEA'!$B$2:$B$74, MATCH($A27, '1_DCS_numerator_by_BEA'!$A$2:$A$74,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IFERROR(INDEX('1_DCS_numerator_by_BEA'!$B$2:$B$74, MATCH($A28, '1_DCS_numerator_by_BEA'!$A$2:$A$74,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IFERROR(INDEX('1_DCS_numerator_by_BEA'!$B$2:$B$74, MATCH($A29, '1_DCS_numerator_by_BEA'!$A$2:$A$74,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IFERROR(INDEX('1_DCS_numerator_by_BEA'!$B$2:$B$74, MATCH($A30, '1_DCS_numerator_by_BEA'!$A$2:$A$74,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IFERROR(INDEX('1_DCS_numerator_by_BEA'!$B$2:$B$74, MATCH($A31, '1_DCS_numerator_by_BEA'!$A$2:$A$74,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IFERROR(INDEX('1_DCS_numerator_by_BEA'!$B$2:$B$74, MATCH($A32, '1_DCS_numerator_by_BEA'!$A$2:$A$74,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IFERROR(INDEX('1_DCS_numerator_by_BEA'!$B$2:$B$74, MATCH($A33, '1_DCS_numerator_by_BEA'!$A$2:$A$74,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IFERROR(INDEX('1_DCS_numerator_by_BEA'!$B$2:$B$74, MATCH($A34, '1_DCS_numerator_by_BEA'!$A$2:$A$74,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IFERROR(INDEX('1_DCS_numerator_by_BEA'!$B$2:$B$74, MATCH($A35, '1_DCS_numerator_by_BEA'!$A$2:$A$74,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IFERROR(INDEX('1_DCS_numerator_by_BEA'!$B$2:$B$74, MATCH($A36, '1_DCS_numerator_by_BEA'!$A$2:$A$74,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IFERROR(INDEX('1_DCS_numerator_by_BEA'!$B$2:$B$74, MATCH($A37, '1_DCS_numerator_by_BEA'!$A$2:$A$74,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IFERROR(INDEX('1_DCS_numerator_by_BEA'!$B$2:$B$74, MATCH($A38, '1_DCS_numerator_by_BEA'!$A$2:$A$74,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IFERROR(INDEX('1_DCS_numerator_by_BEA'!$B$2:$B$74, MATCH($A39, '1_DCS_numerator_by_BEA'!$A$2:$A$74,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IFERROR(INDEX('1_DCS_numerator_by_BEA'!$B$2:$B$74, MATCH($A40, '1_DCS_numerator_by_BEA'!$A$2:$A$74,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IFERROR(INDEX('1_DCS_numerator_by_BEA'!$B$2:$B$74, MATCH($A41, '1_DCS_numerator_by_BEA'!$A$2:$A$74,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IFERROR(INDEX('1_DCS_numerator_by_BEA'!$B$2:$B$74, MATCH($A42, '1_DCS_numerator_by_BEA'!$A$2:$A$74,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IFERROR(INDEX('1_DCS_numerator_by_BEA'!$B$2:$B$74, MATCH($A43, '1_DCS_numerator_by_BEA'!$A$2:$A$74,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IFERROR(INDEX('1_DCS_numerator_by_BEA'!$B$2:$B$74, MATCH($A44, '1_DCS_numerator_by_BEA'!$A$2:$A$74,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IFERROR(INDEX('1_DCS_numerator_by_BEA'!$B$2:$B$74, MATCH($A45, '1_DCS_numerator_by_BEA'!$A$2:$A$74,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IFERROR(INDEX('1_DCS_numerator_by_BEA'!$B$2:$B$74, MATCH($A46, '1_DCS_numerator_by_BEA'!$A$2:$A$74,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IFERROR(INDEX('1_DCS_numerator_by_BEA'!$B$2:$B$74, MATCH($A47, '1_DCS_numerator_by_BEA'!$A$2:$A$74,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IFERROR(INDEX('1_DCS_numerator_by_BEA'!$B$2:$B$74, MATCH($A48, '1_DCS_numerator_by_BEA'!$A$2:$A$74,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IFERROR(INDEX('1_DCS_numerator_by_BEA'!$B$2:$B$74, MATCH($A49, '1_DCS_numerator_by_BEA'!$A$2:$A$74,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IFERROR(INDEX('1_DCS_numerator_by_BEA'!$B$2:$B$74, MATCH($A50, '1_DCS_numerator_by_BEA'!$A$2:$A$74,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IFERROR(INDEX('1_DCS_numerator_by_BEA'!$B$2:$B$74, MATCH($A51, '1_DCS_numerator_by_BEA'!$A$2:$A$74,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IFERROR(INDEX('1_DCS_numerator_by_BEA'!$B$2:$B$74, MATCH($A52, '1_DCS_numerator_by_BEA'!$A$2:$A$74,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IFERROR(INDEX('1_DCS_numerator_by_BEA'!$B$2:$B$74, MATCH($A53, '1_DCS_numerator_by_BEA'!$A$2:$A$74,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IFERROR(INDEX('1_DCS_numerator_by_BEA'!$B$2:$B$74, MATCH($A54, '1_DCS_numerator_by_BEA'!$A$2:$A$74,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IFERROR(INDEX('1_DCS_numerator_by_BEA'!$B$2:$B$74, MATCH($A55, '1_DCS_numerator_by_BEA'!$A$2:$A$74,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IFERROR(INDEX('1_DCS_numerator_by_BEA'!$B$2:$B$74, MATCH($A56, '1_DCS_numerator_by_BEA'!$A$2:$A$74,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IFERROR(INDEX('1_DCS_numerator_by_BEA'!$B$2:$B$74, MATCH($A57, '1_DCS_numerator_by_BEA'!$A$2:$A$74,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IFERROR(INDEX('1_DCS_numerator_by_BEA'!$B$2:$B$74, MATCH($A58, '1_DCS_numerator_by_BEA'!$A$2:$A$74,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IFERROR(INDEX('1_DCS_numerator_by_BEA'!$B$2:$B$74, MATCH($A59, '1_DCS_numerator_by_BEA'!$A$2:$A$74,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IFERROR(INDEX('1_DCS_numerator_by_BEA'!$B$2:$B$74, MATCH($A60, '1_DCS_numerator_by_BEA'!$A$2:$A$74,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IFERROR(INDEX('1_DCS_numerator_by_BEA'!$B$2:$B$74, MATCH($A61, '1_DCS_numerator_by_BEA'!$A$2:$A$74,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IFERROR(INDEX('1_DCS_numerator_by_BEA'!$B$2:$B$74, MATCH($A62, '1_DCS_numerator_by_BEA'!$A$2:$A$74,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IFERROR(INDEX('1_DCS_numerator_by_BEA'!$B$2:$B$74, MATCH($A63, '1_DCS_numerator_by_BEA'!$A$2:$A$74,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IFERROR(INDEX('1_DCS_numerator_by_BEA'!$B$2:$B$74, MATCH($A64, '1_DCS_numerator_by_BEA'!$A$2:$A$74,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IFERROR(INDEX('1_DCS_numerator_by_BEA'!$B$2:$B$74, MATCH($A65, '1_DCS_numerator_by_BEA'!$A$2:$A$74,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IFERROR(INDEX('1_DCS_numerator_by_BEA'!$B$2:$B$74, MATCH($A66, '1_DCS_numerator_by_BEA'!$A$2:$A$74,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IFERROR(INDEX('1_DCS_numerator_by_BEA'!$B$2:$B$74, MATCH($A67, '1_DCS_numerator_by_BEA'!$A$2:$A$74,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IFERROR(INDEX('1_DCS_numerator_by_BEA'!$B$2:$B$74, MATCH($A68, '1_DCS_numerator_by_BEA'!$A$2:$A$74,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IFERROR(INDEX('1_DCS_numerator_by_BEA'!$B$2:$B$74, MATCH($A69, '1_DCS_numerator_by_BEA'!$A$2:$A$74,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IFERROR(INDEX('1_DCS_numerator_by_BEA'!$B$2:$B$74, MATCH($A70, '1_DCS_numerator_by_BEA'!$A$2:$A$74,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IFERROR(INDEX('1_DCS_numerator_by_BEA'!$B$2:$B$74, MATCH($A71, '1_DCS_numerator_by_BEA'!$A$2:$A$74,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IFERROR(INDEX('1_DCS_numerator_by_BEA'!$B$2:$B$74, MATCH($A72, '1_DCS_numerator_by_BEA'!$A$2:$A$74,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IFERROR(INDEX('1_DCS_numerator_by_BEA'!$B$2:$B$74, MATCH($A73, '1_DCS_numerator_by_BEA'!$A$2:$A$74,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IFERROR(INDEX('1_DCS_numerator_by_BEA'!$B$2:$B$74, MATCH($A74, '1_DCS_numerator_by_BEA'!$A$2:$A$74,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IFERROR(INDEX('1_DCS_numerator_by_BEA'!$B$2:$B$74, MATCH($A75, '1_DCS_numerator_by_BEA'!$A$2:$A$74,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IFERROR(INDEX('1_DCS_numerator_by_BEA'!$B$2:$B$74, MATCH($A76, '1_DCS_numerator_by_BEA'!$A$2:$A$74,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IFERROR(INDEX('1_DCS_numerator_by_BEA'!$B$2:$B$74, MATCH($A77, '1_DCS_numerator_by_BEA'!$A$2:$A$74,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IFERROR(INDEX('1_DCS_numerator_by_BEA'!$B$2:$B$74, MATCH($A78, '1_DCS_numerator_by_BEA'!$A$2:$A$74,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IFERROR(INDEX('1_DCS_numerator_by_BEA'!$B$2:$B$74, MATCH($A79, '1_DCS_numerator_by_BEA'!$A$2:$A$74,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IFERROR(INDEX('1_DCS_numerator_by_BEA'!$B$2:$B$74, MATCH($A80, '1_DCS_numerator_by_BEA'!$A$2:$A$74,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IFERROR(INDEX('1_DCS_numerator_by_BEA'!$B$2:$B$74, MATCH($A81, '1_DCS_numerator_by_BEA'!$A$2:$A$74,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SUMIFS('6_Calc_DCS_num_ISIC'!$E$3:$E$81, '6_Calc_DCS_num_ISIC'!$B$3:$B$81, $A85)</f>
      </c>
      <c r="C85" t="str">
        <f>B85</f>
      </c>
    </row>
    <row r="86">
      <c r="A86" t="s">
        <v>482</v>
      </c>
      <c r="B86" t="str">
        <f>SUMIFS('6_Calc_DCS_num_ISIC'!$E$3:$E$81, '6_Calc_DCS_num_ISIC'!$B$3:$B$81, $A86)</f>
      </c>
      <c r="C86" t="str">
        <f>B86</f>
      </c>
    </row>
    <row r="87">
      <c r="A87" t="s">
        <v>344</v>
      </c>
      <c r="B87" t="str">
        <f>SUMIFS('6_Calc_DCS_num_ISIC'!$E$3:$E$81, '6_Calc_DCS_num_ISIC'!$B$3:$B$81, $A87)</f>
      </c>
      <c r="C87" t="str">
        <f>B87</f>
      </c>
    </row>
    <row r="88">
      <c r="A88" t="s">
        <v>485</v>
      </c>
      <c r="B88" t="str">
        <f>SUMIFS('6_Calc_DCS_num_ISIC'!$E$3:$E$81, '6_Calc_DCS_num_ISIC'!$B$3:$B$81, $A88)</f>
      </c>
      <c r="C88" t="str">
        <f>B88</f>
      </c>
    </row>
    <row r="89">
      <c r="A89" t="s">
        <v>347</v>
      </c>
      <c r="B89" t="str">
        <f>SUMIFS('6_Calc_DCS_num_ISIC'!$E$3:$E$81, '6_Calc_DCS_num_ISIC'!$B$3:$B$81, $A89)</f>
      </c>
      <c r="C89" t="str">
        <f>B89</f>
      </c>
    </row>
    <row r="90">
      <c r="A90" t="s">
        <v>362</v>
      </c>
      <c r="B90" t="str">
        <f>SUMIFS('6_Calc_DCS_num_ISIC'!$E$3:$E$81, '6_Calc_DCS_num_ISIC'!$B$3:$B$81, $A90)</f>
      </c>
      <c r="C90" t="str">
        <f>B90</f>
      </c>
    </row>
    <row r="91">
      <c r="A91" t="s">
        <v>365</v>
      </c>
      <c r="B91" t="str">
        <f>SUMIFS('6_Calc_DCS_num_ISIC'!$E$3:$E$81, '6_Calc_DCS_num_ISIC'!$B$3:$B$81, $A91)</f>
      </c>
      <c r="C91" t="str">
        <f>B91</f>
      </c>
    </row>
    <row r="92">
      <c r="A92" t="s">
        <v>369</v>
      </c>
      <c r="B92" t="str">
        <f>SUMIFS('6_Calc_DCS_num_ISIC'!$E$3:$E$81, '6_Calc_DCS_num_ISIC'!$B$3:$B$81, $A92)</f>
      </c>
      <c r="C92" t="str">
        <f>B92</f>
      </c>
    </row>
    <row r="93">
      <c r="A93" t="s">
        <v>372</v>
      </c>
      <c r="B93" t="str">
        <f>SUMIFS('6_Calc_DCS_num_ISIC'!$E$3:$E$81, '6_Calc_DCS_num_ISIC'!$B$3:$B$81, $A93)</f>
      </c>
      <c r="C93" t="str">
        <f>B93</f>
      </c>
    </row>
    <row r="94">
      <c r="A94" t="s">
        <v>376</v>
      </c>
      <c r="B94" t="str">
        <f>SUMIFS('6_Calc_DCS_num_ISIC'!$E$3:$E$81, '6_Calc_DCS_num_ISIC'!$B$3:$B$81, $A94)</f>
      </c>
      <c r="C94" t="str">
        <f>B94</f>
      </c>
    </row>
    <row r="95">
      <c r="A95" t="s">
        <v>498</v>
      </c>
      <c r="B95" t="str">
        <f>SUMIFS('6_Calc_DCS_num_ISIC'!$E$3:$E$81, '6_Calc_DCS_num_ISIC'!$B$3:$B$81, $A95)</f>
      </c>
      <c r="C95" t="str">
        <f>B95</f>
      </c>
    </row>
    <row r="96">
      <c r="A96" t="s">
        <v>501</v>
      </c>
      <c r="B96" t="str">
        <f>SUMIFS('6_Calc_DCS_num_ISIC'!$E$3:$E$81, '6_Calc_DCS_num_ISIC'!$B$3:$B$81, $A96)</f>
      </c>
      <c r="C96" t="str">
        <f>B96</f>
      </c>
    </row>
    <row r="97">
      <c r="A97" t="s">
        <v>126</v>
      </c>
      <c r="B97" t="str">
        <f>SUMIFS('6_Calc_DCS_num_ISIC'!$E$3:$E$81, '6_Calc_DCS_num_ISIC'!$B$3:$B$81, $A97)</f>
      </c>
      <c r="C97" t="str">
        <f>B97</f>
      </c>
    </row>
    <row r="98">
      <c r="A98" t="s">
        <v>488</v>
      </c>
      <c r="B98" t="str">
        <f>SUMIFS('6_Calc_DCS_num_ISIC'!$E$3:$E$81, '6_Calc_DCS_num_ISIC'!$B$3:$B$81, $A98)</f>
      </c>
      <c r="C98" t="str">
        <f>B98</f>
      </c>
    </row>
    <row r="99">
      <c r="A99" t="s">
        <v>491</v>
      </c>
      <c r="B99" t="str">
        <f>SUMIFS('6_Calc_DCS_num_ISIC'!$E$3:$E$81, '6_Calc_DCS_num_ISIC'!$B$3:$B$81, $A99)</f>
      </c>
      <c r="C99" t="str">
        <f>B99</f>
      </c>
    </row>
    <row r="100">
      <c r="A100" t="s">
        <v>379</v>
      </c>
      <c r="B100" t="str">
        <f>SUMIFS('6_Calc_DCS_num_ISIC'!$E$3:$E$81, '6_Calc_DCS_num_ISIC'!$B$3:$B$81, $A100)</f>
      </c>
      <c r="C100" t="str">
        <f>B100</f>
      </c>
    </row>
    <row r="101">
      <c r="A101" t="s">
        <v>495</v>
      </c>
      <c r="B101" t="str">
        <f>SUMIFS('6_Calc_DCS_num_ISIC'!$E$3:$E$81, '6_Calc_DCS_num_ISIC'!$B$3:$B$81, $A101)</f>
      </c>
      <c r="C101" t="str">
        <f>B101</f>
      </c>
    </row>
    <row r="102">
      <c r="A102" t="s">
        <v>385</v>
      </c>
      <c r="B102" t="str">
        <f>SUMIFS('6_Calc_DCS_num_ISIC'!$E$3:$E$81, '6_Calc_DCS_num_ISIC'!$B$3:$B$81, $A102)</f>
      </c>
      <c r="C102" t="str">
        <f>B102</f>
      </c>
    </row>
    <row r="103">
      <c r="A103" t="s">
        <v>390</v>
      </c>
      <c r="B103" t="str">
        <f>SUMIFS('6_Calc_DCS_num_ISIC'!$E$3:$E$81, '6_Calc_DCS_num_ISIC'!$B$3:$B$81, $A103)</f>
      </c>
      <c r="C103" t="str">
        <f>B103</f>
      </c>
    </row>
    <row r="104">
      <c r="A104" t="s">
        <v>393</v>
      </c>
      <c r="B104" t="str">
        <f>SUMIFS('6_Calc_DCS_num_ISIC'!$E$3:$E$81, '6_Calc_DCS_num_ISIC'!$B$3:$B$81, $A104)</f>
      </c>
      <c r="C104" t="str">
        <f>B104</f>
      </c>
    </row>
    <row r="105">
      <c r="A105" t="s">
        <v>387</v>
      </c>
      <c r="B105" t="str">
        <f>SUMIFS('6_Calc_DCS_num_ISIC'!$E$3:$E$81, '6_Calc_DCS_num_ISIC'!$B$3:$B$81, $A105)</f>
      </c>
      <c r="C105" t="str">
        <f>B105</f>
      </c>
    </row>
    <row r="106">
      <c r="A106" t="s">
        <v>396</v>
      </c>
      <c r="B106" t="str">
        <f>SUMIFS('6_Calc_DCS_num_ISIC'!$E$3:$E$81, '6_Calc_DCS_num_ISIC'!$B$3:$B$81, $A106)</f>
      </c>
      <c r="C106" t="str">
        <f>B106</f>
      </c>
    </row>
    <row r="107">
      <c r="A107" t="s">
        <v>399</v>
      </c>
      <c r="B107" t="str">
        <f>SUMIFS('6_Calc_DCS_num_ISIC'!$E$3:$E$81, '6_Calc_DCS_num_ISIC'!$B$3:$B$81, $A107)</f>
      </c>
      <c r="C107" t="str">
        <f>B107</f>
      </c>
    </row>
    <row r="108">
      <c r="A108" t="s">
        <v>402</v>
      </c>
      <c r="B108" t="str">
        <f>SUMIFS('6_Calc_DCS_num_ISIC'!$E$3:$E$81, '6_Calc_DCS_num_ISIC'!$B$3:$B$81, $A108)</f>
      </c>
      <c r="C108" t="str">
        <f>B108</f>
      </c>
    </row>
    <row r="109">
      <c r="A109" t="s">
        <v>350</v>
      </c>
      <c r="B109" t="str">
        <f>SUMIFS('6_Calc_DCS_num_ISIC'!$E$3:$E$81, '6_Calc_DCS_num_ISIC'!$B$3:$B$81, $A109)</f>
      </c>
      <c r="C109" t="str">
        <f>B109</f>
      </c>
    </row>
    <row r="110">
      <c r="A110" t="s">
        <v>353</v>
      </c>
      <c r="B110" t="str">
        <f>SUMIFS('6_Calc_DCS_num_ISIC'!$E$3:$E$81, '6_Calc_DCS_num_ISIC'!$B$3:$B$81, $A110)</f>
      </c>
      <c r="C110" t="str">
        <f>B110</f>
      </c>
    </row>
    <row r="111">
      <c r="A111" t="s">
        <v>356</v>
      </c>
      <c r="B111" t="str">
        <f>SUMIFS('6_Calc_DCS_num_ISIC'!$E$3:$E$81, '6_Calc_DCS_num_ISIC'!$B$3:$B$81, $A111)</f>
      </c>
      <c r="C111" t="str">
        <f>B111</f>
      </c>
    </row>
    <row r="112">
      <c r="A112" t="s">
        <v>360</v>
      </c>
      <c r="B112" t="str">
        <f>SUMIFS('6_Calc_DCS_num_ISIC'!$E$3:$E$81, '6_Calc_DCS_num_ISIC'!$B$3:$B$81, $A112)</f>
      </c>
      <c r="C112" t="str">
        <f>B112</f>
      </c>
    </row>
    <row r="113">
      <c r="A113" t="s">
        <v>406</v>
      </c>
      <c r="B113" t="str">
        <f>SUMIFS('6_Calc_DCS_num_ISIC'!$E$3:$E$81, '6_Calc_DCS_num_ISIC'!$B$3:$B$81, $A113)</f>
      </c>
      <c r="C113" t="str">
        <f>B113</f>
      </c>
    </row>
    <row r="114">
      <c r="A114" t="s">
        <v>413</v>
      </c>
      <c r="B114" t="str">
        <f>SUMIFS('6_Calc_DCS_num_ISIC'!$E$3:$E$81, '6_Calc_DCS_num_ISIC'!$B$3:$B$81, $A114)</f>
      </c>
      <c r="C114" t="str">
        <f>B114</f>
      </c>
    </row>
    <row r="115">
      <c r="A115" t="s">
        <v>470</v>
      </c>
      <c r="B115" t="str">
        <f>SUMIFS('6_Calc_DCS_num_ISIC'!$E$3:$E$81, '6_Calc_DCS_num_ISIC'!$B$3:$B$81, $A115)</f>
      </c>
      <c r="C115" t="str">
        <f>B115</f>
      </c>
    </row>
    <row r="116">
      <c r="A116" t="s">
        <v>425</v>
      </c>
      <c r="B116" t="str">
        <f>SUMIFS('6_Calc_DCS_num_ISIC'!$E$3:$E$81, '6_Calc_DCS_num_ISIC'!$B$3:$B$81, $A116)</f>
      </c>
      <c r="C116" t="str">
        <f>B116</f>
      </c>
    </row>
    <row r="117">
      <c r="A117" t="s">
        <v>177</v>
      </c>
      <c r="B117" t="str">
        <f>SUMIFS('6_Calc_DCS_num_ISIC'!$E$3:$E$81, '6_Calc_DCS_num_ISIC'!$B$3:$B$81, $A117)</f>
      </c>
      <c r="C117" t="str">
        <f>B117</f>
      </c>
    </row>
    <row r="118">
      <c r="A118" t="s">
        <v>432</v>
      </c>
      <c r="B118" t="str">
        <f>SUMIFS('6_Calc_DCS_num_ISIC'!$E$3:$E$81, '6_Calc_DCS_num_ISIC'!$B$3:$B$81, $A118)</f>
      </c>
      <c r="C118" t="str">
        <f>B118</f>
      </c>
    </row>
    <row r="119">
      <c r="A119" t="s">
        <v>435</v>
      </c>
      <c r="B119" t="str">
        <f>SUMIFS('6_Calc_DCS_num_ISIC'!$E$3:$E$81, '6_Calc_DCS_num_ISIC'!$B$3:$B$81, $A119)</f>
      </c>
      <c r="C119" t="str">
        <f>B119</f>
      </c>
    </row>
    <row r="120">
      <c r="A120" t="s">
        <v>441</v>
      </c>
      <c r="B120" t="str">
        <f>SUMIFS('6_Calc_DCS_num_ISIC'!$E$3:$E$81, '6_Calc_DCS_num_ISIC'!$B$3:$B$81, $A120)</f>
      </c>
      <c r="C120" t="str">
        <f>B120</f>
      </c>
    </row>
    <row r="121">
      <c r="A121" t="s">
        <v>445</v>
      </c>
      <c r="B121" t="str">
        <f>SUMIFS('6_Calc_DCS_num_ISIC'!$E$3:$E$81, '6_Calc_DCS_num_ISIC'!$B$3:$B$81, $A121)</f>
      </c>
      <c r="C121" t="str">
        <f>B121</f>
      </c>
    </row>
    <row r="122">
      <c r="A122" t="s">
        <v>475</v>
      </c>
      <c r="B122" t="str">
        <f>SUMIFS('6_Calc_DCS_num_ISIC'!$E$3:$E$81, '6_Calc_DCS_num_ISIC'!$B$3:$B$81, $A122)</f>
      </c>
      <c r="C122" t="str">
        <f>B122</f>
      </c>
    </row>
    <row r="123">
      <c r="A123" t="s">
        <v>457</v>
      </c>
      <c r="B123" t="str">
        <f>SUMIFS('6_Calc_DCS_num_ISIC'!$E$3:$E$81, '6_Calc_DCS_num_ISIC'!$B$3:$B$81, $A123)</f>
      </c>
      <c r="C123" t="str">
        <f>B123</f>
      </c>
    </row>
    <row r="124">
      <c r="A124" t="s">
        <v>460</v>
      </c>
      <c r="B124" t="str">
        <f>SUMIFS('6_Calc_DCS_num_ISIC'!$E$3:$E$81, '6_Calc_DCS_num_ISIC'!$B$3:$B$81, $A124)</f>
      </c>
      <c r="C124" t="str">
        <f>B124</f>
      </c>
    </row>
    <row r="125">
      <c r="A125" t="s">
        <v>466</v>
      </c>
      <c r="B125" t="str">
        <f>SUMIFS('6_Calc_DCS_num_ISIC'!$E$3:$E$81, '6_Calc_DCS_num_ISIC'!$B$3:$B$81, $A125)</f>
      </c>
      <c r="C125" t="str">
        <f>B125</f>
      </c>
    </row>
    <row r="126">
      <c r="A126" t="s">
        <v>583</v>
      </c>
      <c r="B126" t="str">
        <f>SUMIFS('6_Calc_DCS_num_ISIC'!$E$3:$E$81, '6_Calc_DCS_num_ISIC'!$B$3:$B$81,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IFERROR(INDEX('2_DCS_denominator_by_BEA'!$B$2:$B$74, MATCH($A3, '2_DCS_denominator_by_BEA'!$A$2:$A$74,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IFERROR(INDEX('2_DCS_denominator_by_BEA'!$B$2:$B$74, MATCH($A4, '2_DCS_denominator_by_BEA'!$A$2:$A$74,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IFERROR(INDEX('2_DCS_denominator_by_BEA'!$B$2:$B$74, MATCH($A5, '2_DCS_denominator_by_BEA'!$A$2:$A$74,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IFERROR(INDEX('2_DCS_denominator_by_BEA'!$B$2:$B$74, MATCH($A6, '2_DCS_denominator_by_BEA'!$A$2:$A$74,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IFERROR(INDEX('2_DCS_denominator_by_BEA'!$B$2:$B$74, MATCH($A7, '2_DCS_denominator_by_BEA'!$A$2:$A$74,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IFERROR(INDEX('2_DCS_denominator_by_BEA'!$B$2:$B$74, MATCH($A8, '2_DCS_denominator_by_BEA'!$A$2:$A$74,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IFERROR(INDEX('2_DCS_denominator_by_BEA'!$B$2:$B$74, MATCH($A9, '2_DCS_denominator_by_BEA'!$A$2:$A$74,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IFERROR(INDEX('2_DCS_denominator_by_BEA'!$B$2:$B$74, MATCH($A10, '2_DCS_denominator_by_BEA'!$A$2:$A$74,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IFERROR(INDEX('2_DCS_denominator_by_BEA'!$B$2:$B$74, MATCH($A11, '2_DCS_denominator_by_BEA'!$A$2:$A$74,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IFERROR(INDEX('2_DCS_denominator_by_BEA'!$B$2:$B$74, MATCH($A12, '2_DCS_denominator_by_BEA'!$A$2:$A$74,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IFERROR(INDEX('2_DCS_denominator_by_BEA'!$B$2:$B$74, MATCH($A13, '2_DCS_denominator_by_BEA'!$A$2:$A$74,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IFERROR(INDEX('2_DCS_denominator_by_BEA'!$B$2:$B$74, MATCH($A14, '2_DCS_denominator_by_BEA'!$A$2:$A$74,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IFERROR(INDEX('2_DCS_denominator_by_BEA'!$B$2:$B$74, MATCH($A15, '2_DCS_denominator_by_BEA'!$A$2:$A$74,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IFERROR(INDEX('2_DCS_denominator_by_BEA'!$B$2:$B$74, MATCH($A16, '2_DCS_denominator_by_BEA'!$A$2:$A$74,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IFERROR(INDEX('2_DCS_denominator_by_BEA'!$B$2:$B$74, MATCH($A17, '2_DCS_denominator_by_BEA'!$A$2:$A$74,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IFERROR(INDEX('2_DCS_denominator_by_BEA'!$B$2:$B$74, MATCH($A18, '2_DCS_denominator_by_BEA'!$A$2:$A$74,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IFERROR(INDEX('2_DCS_denominator_by_BEA'!$B$2:$B$74, MATCH($A19, '2_DCS_denominator_by_BEA'!$A$2:$A$74,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IFERROR(INDEX('2_DCS_denominator_by_BEA'!$B$2:$B$74, MATCH($A20, '2_DCS_denominator_by_BEA'!$A$2:$A$74,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IFERROR(INDEX('2_DCS_denominator_by_BEA'!$B$2:$B$74, MATCH($A21, '2_DCS_denominator_by_BEA'!$A$2:$A$74,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IFERROR(INDEX('2_DCS_denominator_by_BEA'!$B$2:$B$74, MATCH($A22, '2_DCS_denominator_by_BEA'!$A$2:$A$74,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IFERROR(INDEX('2_DCS_denominator_by_BEA'!$B$2:$B$74, MATCH($A23, '2_DCS_denominator_by_BEA'!$A$2:$A$74,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IFERROR(INDEX('2_DCS_denominator_by_BEA'!$B$2:$B$74, MATCH($A24, '2_DCS_denominator_by_BEA'!$A$2:$A$74,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IFERROR(INDEX('2_DCS_denominator_by_BEA'!$B$2:$B$74, MATCH($A25, '2_DCS_denominator_by_BEA'!$A$2:$A$74,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IFERROR(INDEX('2_DCS_denominator_by_BEA'!$B$2:$B$74, MATCH($A26, '2_DCS_denominator_by_BEA'!$A$2:$A$74,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IFERROR(INDEX('2_DCS_denominator_by_BEA'!$B$2:$B$74, MATCH($A27, '2_DCS_denominator_by_BEA'!$A$2:$A$74,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IFERROR(INDEX('2_DCS_denominator_by_BEA'!$B$2:$B$74, MATCH($A28, '2_DCS_denominator_by_BEA'!$A$2:$A$74,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IFERROR(INDEX('2_DCS_denominator_by_BEA'!$B$2:$B$74, MATCH($A29, '2_DCS_denominator_by_BEA'!$A$2:$A$74,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IFERROR(INDEX('2_DCS_denominator_by_BEA'!$B$2:$B$74, MATCH($A30, '2_DCS_denominator_by_BEA'!$A$2:$A$74,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IFERROR(INDEX('2_DCS_denominator_by_BEA'!$B$2:$B$74, MATCH($A31, '2_DCS_denominator_by_BEA'!$A$2:$A$74,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IFERROR(INDEX('2_DCS_denominator_by_BEA'!$B$2:$B$74, MATCH($A32, '2_DCS_denominator_by_BEA'!$A$2:$A$74,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IFERROR(INDEX('2_DCS_denominator_by_BEA'!$B$2:$B$74, MATCH($A33, '2_DCS_denominator_by_BEA'!$A$2:$A$74,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IFERROR(INDEX('2_DCS_denominator_by_BEA'!$B$2:$B$74, MATCH($A34, '2_DCS_denominator_by_BEA'!$A$2:$A$74,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IFERROR(INDEX('2_DCS_denominator_by_BEA'!$B$2:$B$74, MATCH($A35, '2_DCS_denominator_by_BEA'!$A$2:$A$74,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IFERROR(INDEX('2_DCS_denominator_by_BEA'!$B$2:$B$74, MATCH($A36, '2_DCS_denominator_by_BEA'!$A$2:$A$74,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IFERROR(INDEX('2_DCS_denominator_by_BEA'!$B$2:$B$74, MATCH($A37, '2_DCS_denominator_by_BEA'!$A$2:$A$74,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IFERROR(INDEX('2_DCS_denominator_by_BEA'!$B$2:$B$74, MATCH($A38, '2_DCS_denominator_by_BEA'!$A$2:$A$74,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IFERROR(INDEX('2_DCS_denominator_by_BEA'!$B$2:$B$74, MATCH($A39, '2_DCS_denominator_by_BEA'!$A$2:$A$74,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IFERROR(INDEX('2_DCS_denominator_by_BEA'!$B$2:$B$74, MATCH($A40, '2_DCS_denominator_by_BEA'!$A$2:$A$74,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IFERROR(INDEX('2_DCS_denominator_by_BEA'!$B$2:$B$74, MATCH($A41, '2_DCS_denominator_by_BEA'!$A$2:$A$74,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IFERROR(INDEX('2_DCS_denominator_by_BEA'!$B$2:$B$74, MATCH($A42, '2_DCS_denominator_by_BEA'!$A$2:$A$74,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IFERROR(INDEX('2_DCS_denominator_by_BEA'!$B$2:$B$74, MATCH($A43, '2_DCS_denominator_by_BEA'!$A$2:$A$74,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IFERROR(INDEX('2_DCS_denominator_by_BEA'!$B$2:$B$74, MATCH($A44, '2_DCS_denominator_by_BEA'!$A$2:$A$74,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IFERROR(INDEX('2_DCS_denominator_by_BEA'!$B$2:$B$74, MATCH($A45, '2_DCS_denominator_by_BEA'!$A$2:$A$74,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IFERROR(INDEX('2_DCS_denominator_by_BEA'!$B$2:$B$74, MATCH($A46, '2_DCS_denominator_by_BEA'!$A$2:$A$74,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IFERROR(INDEX('2_DCS_denominator_by_BEA'!$B$2:$B$74, MATCH($A47, '2_DCS_denominator_by_BEA'!$A$2:$A$74,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IFERROR(INDEX('2_DCS_denominator_by_BEA'!$B$2:$B$74, MATCH($A48, '2_DCS_denominator_by_BEA'!$A$2:$A$74,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IFERROR(INDEX('2_DCS_denominator_by_BEA'!$B$2:$B$74, MATCH($A49, '2_DCS_denominator_by_BEA'!$A$2:$A$74,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IFERROR(INDEX('2_DCS_denominator_by_BEA'!$B$2:$B$74, MATCH($A50, '2_DCS_denominator_by_BEA'!$A$2:$A$74,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IFERROR(INDEX('2_DCS_denominator_by_BEA'!$B$2:$B$74, MATCH($A51, '2_DCS_denominator_by_BEA'!$A$2:$A$74,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IFERROR(INDEX('2_DCS_denominator_by_BEA'!$B$2:$B$74, MATCH($A52, '2_DCS_denominator_by_BEA'!$A$2:$A$74,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IFERROR(INDEX('2_DCS_denominator_by_BEA'!$B$2:$B$74, MATCH($A53, '2_DCS_denominator_by_BEA'!$A$2:$A$74,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IFERROR(INDEX('2_DCS_denominator_by_BEA'!$B$2:$B$74, MATCH($A54, '2_DCS_denominator_by_BEA'!$A$2:$A$74,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IFERROR(INDEX('2_DCS_denominator_by_BEA'!$B$2:$B$74, MATCH($A55, '2_DCS_denominator_by_BEA'!$A$2:$A$74,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IFERROR(INDEX('2_DCS_denominator_by_BEA'!$B$2:$B$74, MATCH($A56, '2_DCS_denominator_by_BEA'!$A$2:$A$74,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IFERROR(INDEX('2_DCS_denominator_by_BEA'!$B$2:$B$74, MATCH($A57, '2_DCS_denominator_by_BEA'!$A$2:$A$74,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IFERROR(INDEX('2_DCS_denominator_by_BEA'!$B$2:$B$74, MATCH($A58, '2_DCS_denominator_by_BEA'!$A$2:$A$74,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IFERROR(INDEX('2_DCS_denominator_by_BEA'!$B$2:$B$74, MATCH($A59, '2_DCS_denominator_by_BEA'!$A$2:$A$74,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IFERROR(INDEX('2_DCS_denominator_by_BEA'!$B$2:$B$74, MATCH($A60, '2_DCS_denominator_by_BEA'!$A$2:$A$74,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IFERROR(INDEX('2_DCS_denominator_by_BEA'!$B$2:$B$74, MATCH($A61, '2_DCS_denominator_by_BEA'!$A$2:$A$74,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IFERROR(INDEX('2_DCS_denominator_by_BEA'!$B$2:$B$74, MATCH($A62, '2_DCS_denominator_by_BEA'!$A$2:$A$74,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IFERROR(INDEX('2_DCS_denominator_by_BEA'!$B$2:$B$74, MATCH($A63, '2_DCS_denominator_by_BEA'!$A$2:$A$74,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IFERROR(INDEX('2_DCS_denominator_by_BEA'!$B$2:$B$74, MATCH($A64, '2_DCS_denominator_by_BEA'!$A$2:$A$74,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IFERROR(INDEX('2_DCS_denominator_by_BEA'!$B$2:$B$74, MATCH($A65, '2_DCS_denominator_by_BEA'!$A$2:$A$74,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IFERROR(INDEX('2_DCS_denominator_by_BEA'!$B$2:$B$74, MATCH($A66, '2_DCS_denominator_by_BEA'!$A$2:$A$74,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IFERROR(INDEX('2_DCS_denominator_by_BEA'!$B$2:$B$74, MATCH($A67, '2_DCS_denominator_by_BEA'!$A$2:$A$74,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IFERROR(INDEX('2_DCS_denominator_by_BEA'!$B$2:$B$74, MATCH($A68, '2_DCS_denominator_by_BEA'!$A$2:$A$74,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IFERROR(INDEX('2_DCS_denominator_by_BEA'!$B$2:$B$74, MATCH($A69, '2_DCS_denominator_by_BEA'!$A$2:$A$74,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IFERROR(INDEX('2_DCS_denominator_by_BEA'!$B$2:$B$74, MATCH($A70, '2_DCS_denominator_by_BEA'!$A$2:$A$74,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IFERROR(INDEX('2_DCS_denominator_by_BEA'!$B$2:$B$74, MATCH($A71, '2_DCS_denominator_by_BEA'!$A$2:$A$74,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IFERROR(INDEX('2_DCS_denominator_by_BEA'!$B$2:$B$74, MATCH($A72, '2_DCS_denominator_by_BEA'!$A$2:$A$74,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IFERROR(INDEX('2_DCS_denominator_by_BEA'!$B$2:$B$74, MATCH($A73, '2_DCS_denominator_by_BEA'!$A$2:$A$74,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IFERROR(INDEX('2_DCS_denominator_by_BEA'!$B$2:$B$74, MATCH($A74, '2_DCS_denominator_by_BEA'!$A$2:$A$74,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IFERROR(INDEX('2_DCS_denominator_by_BEA'!$B$2:$B$74, MATCH($A75, '2_DCS_denominator_by_BEA'!$A$2:$A$74,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IFERROR(INDEX('2_DCS_denominator_by_BEA'!$B$2:$B$74, MATCH($A76, '2_DCS_denominator_by_BEA'!$A$2:$A$74,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IFERROR(INDEX('2_DCS_denominator_by_BEA'!$B$2:$B$74, MATCH($A77, '2_DCS_denominator_by_BEA'!$A$2:$A$74,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IFERROR(INDEX('2_DCS_denominator_by_BEA'!$B$2:$B$74, MATCH($A78, '2_DCS_denominator_by_BEA'!$A$2:$A$74,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IFERROR(INDEX('2_DCS_denominator_by_BEA'!$B$2:$B$74, MATCH($A79, '2_DCS_denominator_by_BEA'!$A$2:$A$74,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IFERROR(INDEX('2_DCS_denominator_by_BEA'!$B$2:$B$74, MATCH($A80, '2_DCS_denominator_by_BEA'!$A$2:$A$74,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IFERROR(INDEX('2_DCS_denominator_by_BEA'!$B$2:$B$74, MATCH($A81, '2_DCS_denominator_by_BEA'!$A$2:$A$74,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SUMIFS('7_Calc_DCS_den_ISIC'!$E$3:$E$81, '7_Calc_DCS_den_ISIC'!$B$3:$B$81, $A85)</f>
      </c>
      <c r="C85" t="str">
        <f>B85</f>
      </c>
    </row>
    <row r="86">
      <c r="A86" t="s">
        <v>482</v>
      </c>
      <c r="B86" t="str">
        <f>SUMIFS('7_Calc_DCS_den_ISIC'!$E$3:$E$81, '7_Calc_DCS_den_ISIC'!$B$3:$B$81, $A86)</f>
      </c>
      <c r="C86" t="str">
        <f>B86</f>
      </c>
    </row>
    <row r="87">
      <c r="A87" t="s">
        <v>344</v>
      </c>
      <c r="B87" t="str">
        <f>SUMIFS('7_Calc_DCS_den_ISIC'!$E$3:$E$81, '7_Calc_DCS_den_ISIC'!$B$3:$B$81, $A87)</f>
      </c>
      <c r="C87" t="str">
        <f>B87</f>
      </c>
    </row>
    <row r="88">
      <c r="A88" t="s">
        <v>485</v>
      </c>
      <c r="B88" t="str">
        <f>SUMIFS('7_Calc_DCS_den_ISIC'!$E$3:$E$81, '7_Calc_DCS_den_ISIC'!$B$3:$B$81, $A88)</f>
      </c>
      <c r="C88" t="str">
        <f>B88</f>
      </c>
    </row>
    <row r="89">
      <c r="A89" t="s">
        <v>347</v>
      </c>
      <c r="B89" t="str">
        <f>SUMIFS('7_Calc_DCS_den_ISIC'!$E$3:$E$81, '7_Calc_DCS_den_ISIC'!$B$3:$B$81, $A89)</f>
      </c>
      <c r="C89" t="str">
        <f>B89</f>
      </c>
    </row>
    <row r="90">
      <c r="A90" t="s">
        <v>362</v>
      </c>
      <c r="B90" t="str">
        <f>SUMIFS('7_Calc_DCS_den_ISIC'!$E$3:$E$81, '7_Calc_DCS_den_ISIC'!$B$3:$B$81, $A90)</f>
      </c>
      <c r="C90" t="str">
        <f>B90</f>
      </c>
    </row>
    <row r="91">
      <c r="A91" t="s">
        <v>365</v>
      </c>
      <c r="B91" t="str">
        <f>SUMIFS('7_Calc_DCS_den_ISIC'!$E$3:$E$81, '7_Calc_DCS_den_ISIC'!$B$3:$B$81, $A91)</f>
      </c>
      <c r="C91" t="str">
        <f>B91</f>
      </c>
    </row>
    <row r="92">
      <c r="A92" t="s">
        <v>369</v>
      </c>
      <c r="B92" t="str">
        <f>SUMIFS('7_Calc_DCS_den_ISIC'!$E$3:$E$81, '7_Calc_DCS_den_ISIC'!$B$3:$B$81, $A92)</f>
      </c>
      <c r="C92" t="str">
        <f>B92</f>
      </c>
    </row>
    <row r="93">
      <c r="A93" t="s">
        <v>372</v>
      </c>
      <c r="B93" t="str">
        <f>SUMIFS('7_Calc_DCS_den_ISIC'!$E$3:$E$81, '7_Calc_DCS_den_ISIC'!$B$3:$B$81, $A93)</f>
      </c>
      <c r="C93" t="str">
        <f>B93</f>
      </c>
    </row>
    <row r="94">
      <c r="A94" t="s">
        <v>376</v>
      </c>
      <c r="B94" t="str">
        <f>SUMIFS('7_Calc_DCS_den_ISIC'!$E$3:$E$81, '7_Calc_DCS_den_ISIC'!$B$3:$B$81, $A94)</f>
      </c>
      <c r="C94" t="str">
        <f>B94</f>
      </c>
    </row>
    <row r="95">
      <c r="A95" t="s">
        <v>498</v>
      </c>
      <c r="B95" t="str">
        <f>SUMIFS('7_Calc_DCS_den_ISIC'!$E$3:$E$81, '7_Calc_DCS_den_ISIC'!$B$3:$B$81, $A95)</f>
      </c>
      <c r="C95" t="str">
        <f>B95</f>
      </c>
    </row>
    <row r="96">
      <c r="A96" t="s">
        <v>501</v>
      </c>
      <c r="B96" t="str">
        <f>SUMIFS('7_Calc_DCS_den_ISIC'!$E$3:$E$81, '7_Calc_DCS_den_ISIC'!$B$3:$B$81, $A96)</f>
      </c>
      <c r="C96" t="str">
        <f>B96</f>
      </c>
    </row>
    <row r="97">
      <c r="A97" t="s">
        <v>126</v>
      </c>
      <c r="B97" t="str">
        <f>SUMIFS('7_Calc_DCS_den_ISIC'!$E$3:$E$81, '7_Calc_DCS_den_ISIC'!$B$3:$B$81, $A97)</f>
      </c>
      <c r="C97" t="str">
        <f>B97</f>
      </c>
    </row>
    <row r="98">
      <c r="A98" t="s">
        <v>488</v>
      </c>
      <c r="B98" t="str">
        <f>SUMIFS('7_Calc_DCS_den_ISIC'!$E$3:$E$81, '7_Calc_DCS_den_ISIC'!$B$3:$B$81, $A98)</f>
      </c>
      <c r="C98" t="str">
        <f>B98</f>
      </c>
    </row>
    <row r="99">
      <c r="A99" t="s">
        <v>491</v>
      </c>
      <c r="B99" t="str">
        <f>SUMIFS('7_Calc_DCS_den_ISIC'!$E$3:$E$81, '7_Calc_DCS_den_ISIC'!$B$3:$B$81, $A99)</f>
      </c>
      <c r="C99" t="str">
        <f>B99</f>
      </c>
    </row>
    <row r="100">
      <c r="A100" t="s">
        <v>379</v>
      </c>
      <c r="B100" t="str">
        <f>SUMIFS('7_Calc_DCS_den_ISIC'!$E$3:$E$81, '7_Calc_DCS_den_ISIC'!$B$3:$B$81, $A100)</f>
      </c>
      <c r="C100" t="str">
        <f>B100</f>
      </c>
    </row>
    <row r="101">
      <c r="A101" t="s">
        <v>495</v>
      </c>
      <c r="B101" t="str">
        <f>SUMIFS('7_Calc_DCS_den_ISIC'!$E$3:$E$81, '7_Calc_DCS_den_ISIC'!$B$3:$B$81, $A101)</f>
      </c>
      <c r="C101" t="str">
        <f>B101</f>
      </c>
    </row>
    <row r="102">
      <c r="A102" t="s">
        <v>385</v>
      </c>
      <c r="B102" t="str">
        <f>SUMIFS('7_Calc_DCS_den_ISIC'!$E$3:$E$81, '7_Calc_DCS_den_ISIC'!$B$3:$B$81, $A102)</f>
      </c>
      <c r="C102" t="str">
        <f>B102</f>
      </c>
    </row>
    <row r="103">
      <c r="A103" t="s">
        <v>390</v>
      </c>
      <c r="B103" t="str">
        <f>SUMIFS('7_Calc_DCS_den_ISIC'!$E$3:$E$81, '7_Calc_DCS_den_ISIC'!$B$3:$B$81, $A103)</f>
      </c>
      <c r="C103" t="str">
        <f>B103</f>
      </c>
    </row>
    <row r="104">
      <c r="A104" t="s">
        <v>393</v>
      </c>
      <c r="B104" t="str">
        <f>SUMIFS('7_Calc_DCS_den_ISIC'!$E$3:$E$81, '7_Calc_DCS_den_ISIC'!$B$3:$B$81, $A104)</f>
      </c>
      <c r="C104" t="str">
        <f>B104</f>
      </c>
    </row>
    <row r="105">
      <c r="A105" t="s">
        <v>387</v>
      </c>
      <c r="B105" t="str">
        <f>SUMIFS('7_Calc_DCS_den_ISIC'!$E$3:$E$81, '7_Calc_DCS_den_ISIC'!$B$3:$B$81, $A105)</f>
      </c>
      <c r="C105" t="str">
        <f>B105</f>
      </c>
    </row>
    <row r="106">
      <c r="A106" t="s">
        <v>396</v>
      </c>
      <c r="B106" t="str">
        <f>SUMIFS('7_Calc_DCS_den_ISIC'!$E$3:$E$81, '7_Calc_DCS_den_ISIC'!$B$3:$B$81, $A106)</f>
      </c>
      <c r="C106" t="str">
        <f>B106</f>
      </c>
    </row>
    <row r="107">
      <c r="A107" t="s">
        <v>399</v>
      </c>
      <c r="B107" t="str">
        <f>SUMIFS('7_Calc_DCS_den_ISIC'!$E$3:$E$81, '7_Calc_DCS_den_ISIC'!$B$3:$B$81, $A107)</f>
      </c>
      <c r="C107" t="str">
        <f>B107</f>
      </c>
    </row>
    <row r="108">
      <c r="A108" t="s">
        <v>402</v>
      </c>
      <c r="B108" t="str">
        <f>SUMIFS('7_Calc_DCS_den_ISIC'!$E$3:$E$81, '7_Calc_DCS_den_ISIC'!$B$3:$B$81, $A108)</f>
      </c>
      <c r="C108" t="str">
        <f>B108</f>
      </c>
    </row>
    <row r="109">
      <c r="A109" t="s">
        <v>350</v>
      </c>
      <c r="B109" t="str">
        <f>SUMIFS('7_Calc_DCS_den_ISIC'!$E$3:$E$81, '7_Calc_DCS_den_ISIC'!$B$3:$B$81, $A109)</f>
      </c>
      <c r="C109" t="str">
        <f>B109</f>
      </c>
    </row>
    <row r="110">
      <c r="A110" t="s">
        <v>353</v>
      </c>
      <c r="B110" t="str">
        <f>SUMIFS('7_Calc_DCS_den_ISIC'!$E$3:$E$81, '7_Calc_DCS_den_ISIC'!$B$3:$B$81, $A110)</f>
      </c>
      <c r="C110" t="str">
        <f>B110</f>
      </c>
    </row>
    <row r="111">
      <c r="A111" t="s">
        <v>356</v>
      </c>
      <c r="B111" t="str">
        <f>SUMIFS('7_Calc_DCS_den_ISIC'!$E$3:$E$81, '7_Calc_DCS_den_ISIC'!$B$3:$B$81, $A111)</f>
      </c>
      <c r="C111" t="str">
        <f>B111</f>
      </c>
    </row>
    <row r="112">
      <c r="A112" t="s">
        <v>360</v>
      </c>
      <c r="B112" t="str">
        <f>SUMIFS('7_Calc_DCS_den_ISIC'!$E$3:$E$81, '7_Calc_DCS_den_ISIC'!$B$3:$B$81, $A112)</f>
      </c>
      <c r="C112" t="str">
        <f>B112</f>
      </c>
    </row>
    <row r="113">
      <c r="A113" t="s">
        <v>406</v>
      </c>
      <c r="B113" t="str">
        <f>SUMIFS('7_Calc_DCS_den_ISIC'!$E$3:$E$81, '7_Calc_DCS_den_ISIC'!$B$3:$B$81, $A113)</f>
      </c>
      <c r="C113" t="str">
        <f>B113</f>
      </c>
    </row>
    <row r="114">
      <c r="A114" t="s">
        <v>413</v>
      </c>
      <c r="B114" t="str">
        <f>SUMIFS('7_Calc_DCS_den_ISIC'!$E$3:$E$81, '7_Calc_DCS_den_ISIC'!$B$3:$B$81, $A114)</f>
      </c>
      <c r="C114" t="str">
        <f>B114</f>
      </c>
    </row>
    <row r="115">
      <c r="A115" t="s">
        <v>470</v>
      </c>
      <c r="B115" t="str">
        <f>SUMIFS('7_Calc_DCS_den_ISIC'!$E$3:$E$81, '7_Calc_DCS_den_ISIC'!$B$3:$B$81, $A115)</f>
      </c>
      <c r="C115" t="str">
        <f>B115</f>
      </c>
    </row>
    <row r="116">
      <c r="A116" t="s">
        <v>425</v>
      </c>
      <c r="B116" t="str">
        <f>SUMIFS('7_Calc_DCS_den_ISIC'!$E$3:$E$81, '7_Calc_DCS_den_ISIC'!$B$3:$B$81, $A116)</f>
      </c>
      <c r="C116" t="str">
        <f>B116</f>
      </c>
    </row>
    <row r="117">
      <c r="A117" t="s">
        <v>177</v>
      </c>
      <c r="B117" t="str">
        <f>SUMIFS('7_Calc_DCS_den_ISIC'!$E$3:$E$81, '7_Calc_DCS_den_ISIC'!$B$3:$B$81, $A117)</f>
      </c>
      <c r="C117" t="str">
        <f>B117</f>
      </c>
    </row>
    <row r="118">
      <c r="A118" t="s">
        <v>432</v>
      </c>
      <c r="B118" t="str">
        <f>SUMIFS('7_Calc_DCS_den_ISIC'!$E$3:$E$81, '7_Calc_DCS_den_ISIC'!$B$3:$B$81, $A118)</f>
      </c>
      <c r="C118" t="str">
        <f>B118</f>
      </c>
    </row>
    <row r="119">
      <c r="A119" t="s">
        <v>435</v>
      </c>
      <c r="B119" t="str">
        <f>SUMIFS('7_Calc_DCS_den_ISIC'!$E$3:$E$81, '7_Calc_DCS_den_ISIC'!$B$3:$B$81, $A119)</f>
      </c>
      <c r="C119" t="str">
        <f>B119</f>
      </c>
    </row>
    <row r="120">
      <c r="A120" t="s">
        <v>441</v>
      </c>
      <c r="B120" t="str">
        <f>SUMIFS('7_Calc_DCS_den_ISIC'!$E$3:$E$81, '7_Calc_DCS_den_ISIC'!$B$3:$B$81, $A120)</f>
      </c>
      <c r="C120" t="str">
        <f>B120</f>
      </c>
    </row>
    <row r="121">
      <c r="A121" t="s">
        <v>445</v>
      </c>
      <c r="B121" t="str">
        <f>SUMIFS('7_Calc_DCS_den_ISIC'!$E$3:$E$81, '7_Calc_DCS_den_ISIC'!$B$3:$B$81, $A121)</f>
      </c>
      <c r="C121" t="str">
        <f>B121</f>
      </c>
    </row>
    <row r="122">
      <c r="A122" t="s">
        <v>475</v>
      </c>
      <c r="B122" t="str">
        <f>SUMIFS('7_Calc_DCS_den_ISIC'!$E$3:$E$81, '7_Calc_DCS_den_ISIC'!$B$3:$B$81, $A122)</f>
      </c>
      <c r="C122" t="str">
        <f>B122</f>
      </c>
    </row>
    <row r="123">
      <c r="A123" t="s">
        <v>457</v>
      </c>
      <c r="B123" t="str">
        <f>SUMIFS('7_Calc_DCS_den_ISIC'!$E$3:$E$81, '7_Calc_DCS_den_ISIC'!$B$3:$B$81, $A123)</f>
      </c>
      <c r="C123" t="str">
        <f>B123</f>
      </c>
    </row>
    <row r="124">
      <c r="A124" t="s">
        <v>460</v>
      </c>
      <c r="B124" t="str">
        <f>SUMIFS('7_Calc_DCS_den_ISIC'!$E$3:$E$81, '7_Calc_DCS_den_ISIC'!$B$3:$B$81, $A124)</f>
      </c>
      <c r="C124" t="str">
        <f>B124</f>
      </c>
    </row>
    <row r="125">
      <c r="A125" t="s">
        <v>466</v>
      </c>
      <c r="B125" t="str">
        <f>SUMIFS('7_Calc_DCS_den_ISIC'!$E$3:$E$81, '7_Calc_DCS_den_ISIC'!$B$3:$B$81, $A125)</f>
      </c>
      <c r="C125" t="str">
        <f>B125</f>
      </c>
    </row>
    <row r="126">
      <c r="A126" t="s">
        <v>583</v>
      </c>
      <c r="B126" t="str">
        <f>SUMIFS('7_Calc_DCS_den_ISIC'!$E$3:$E$81, '7_Calc_DCS_den_ISIC'!$B$3:$B$81,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IFERROR(INDEX('5_Exp_total_by_BEA'!$B$2:$B$74, MATCH($A3, '5_Exp_total_by_BEA'!$A$2:$A$74,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IFERROR(INDEX('5_Exp_total_by_BEA'!$B$2:$B$74, MATCH($A4, '5_Exp_total_by_BEA'!$A$2:$A$74,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IFERROR(INDEX('5_Exp_total_by_BEA'!$B$2:$B$74, MATCH($A5, '5_Exp_total_by_BEA'!$A$2:$A$74,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IFERROR(INDEX('5_Exp_total_by_BEA'!$B$2:$B$74, MATCH($A6, '5_Exp_total_by_BEA'!$A$2:$A$74,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IFERROR(INDEX('5_Exp_total_by_BEA'!$B$2:$B$74, MATCH($A7, '5_Exp_total_by_BEA'!$A$2:$A$74,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IFERROR(INDEX('5_Exp_total_by_BEA'!$B$2:$B$74, MATCH($A8, '5_Exp_total_by_BEA'!$A$2:$A$74,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IFERROR(INDEX('5_Exp_total_by_BEA'!$B$2:$B$74, MATCH($A9, '5_Exp_total_by_BEA'!$A$2:$A$74,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IFERROR(INDEX('5_Exp_total_by_BEA'!$B$2:$B$74, MATCH($A10, '5_Exp_total_by_BEA'!$A$2:$A$74,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IFERROR(INDEX('5_Exp_total_by_BEA'!$B$2:$B$74, MATCH($A11, '5_Exp_total_by_BEA'!$A$2:$A$74,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IFERROR(INDEX('5_Exp_total_by_BEA'!$B$2:$B$74, MATCH($A12, '5_Exp_total_by_BEA'!$A$2:$A$74,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IFERROR(INDEX('5_Exp_total_by_BEA'!$B$2:$B$74, MATCH($A13, '5_Exp_total_by_BEA'!$A$2:$A$74,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IFERROR(INDEX('5_Exp_total_by_BEA'!$B$2:$B$74, MATCH($A14, '5_Exp_total_by_BEA'!$A$2:$A$74,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IFERROR(INDEX('5_Exp_total_by_BEA'!$B$2:$B$74, MATCH($A15, '5_Exp_total_by_BEA'!$A$2:$A$74,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IFERROR(INDEX('5_Exp_total_by_BEA'!$B$2:$B$74, MATCH($A16, '5_Exp_total_by_BEA'!$A$2:$A$74,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IFERROR(INDEX('5_Exp_total_by_BEA'!$B$2:$B$74, MATCH($A17, '5_Exp_total_by_BEA'!$A$2:$A$74,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IFERROR(INDEX('5_Exp_total_by_BEA'!$B$2:$B$74, MATCH($A18, '5_Exp_total_by_BEA'!$A$2:$A$74,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IFERROR(INDEX('5_Exp_total_by_BEA'!$B$2:$B$74, MATCH($A19, '5_Exp_total_by_BEA'!$A$2:$A$74,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IFERROR(INDEX('5_Exp_total_by_BEA'!$B$2:$B$74, MATCH($A20, '5_Exp_total_by_BEA'!$A$2:$A$74,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IFERROR(INDEX('5_Exp_total_by_BEA'!$B$2:$B$74, MATCH($A21, '5_Exp_total_by_BEA'!$A$2:$A$74,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IFERROR(INDEX('5_Exp_total_by_BEA'!$B$2:$B$74, MATCH($A22, '5_Exp_total_by_BEA'!$A$2:$A$74,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IFERROR(INDEX('5_Exp_total_by_BEA'!$B$2:$B$74, MATCH($A23, '5_Exp_total_by_BEA'!$A$2:$A$74,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IFERROR(INDEX('5_Exp_total_by_BEA'!$B$2:$B$74, MATCH($A24, '5_Exp_total_by_BEA'!$A$2:$A$74,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IFERROR(INDEX('5_Exp_total_by_BEA'!$B$2:$B$74, MATCH($A25, '5_Exp_total_by_BEA'!$A$2:$A$74,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IFERROR(INDEX('5_Exp_total_by_BEA'!$B$2:$B$74, MATCH($A26, '5_Exp_total_by_BEA'!$A$2:$A$74,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IFERROR(INDEX('5_Exp_total_by_BEA'!$B$2:$B$74, MATCH($A27, '5_Exp_total_by_BEA'!$A$2:$A$74,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IFERROR(INDEX('5_Exp_total_by_BEA'!$B$2:$B$74, MATCH($A28, '5_Exp_total_by_BEA'!$A$2:$A$74,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IFERROR(INDEX('5_Exp_total_by_BEA'!$B$2:$B$74, MATCH($A29, '5_Exp_total_by_BEA'!$A$2:$A$74,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IFERROR(INDEX('5_Exp_total_by_BEA'!$B$2:$B$74, MATCH($A30, '5_Exp_total_by_BEA'!$A$2:$A$74,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IFERROR(INDEX('5_Exp_total_by_BEA'!$B$2:$B$74, MATCH($A31, '5_Exp_total_by_BEA'!$A$2:$A$74,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IFERROR(INDEX('5_Exp_total_by_BEA'!$B$2:$B$74, MATCH($A32, '5_Exp_total_by_BEA'!$A$2:$A$74,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IFERROR(INDEX('5_Exp_total_by_BEA'!$B$2:$B$74, MATCH($A33, '5_Exp_total_by_BEA'!$A$2:$A$74,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IFERROR(INDEX('5_Exp_total_by_BEA'!$B$2:$B$74, MATCH($A34, '5_Exp_total_by_BEA'!$A$2:$A$74,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IFERROR(INDEX('5_Exp_total_by_BEA'!$B$2:$B$74, MATCH($A35, '5_Exp_total_by_BEA'!$A$2:$A$74,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IFERROR(INDEX('5_Exp_total_by_BEA'!$B$2:$B$74, MATCH($A36, '5_Exp_total_by_BEA'!$A$2:$A$74,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IFERROR(INDEX('5_Exp_total_by_BEA'!$B$2:$B$74, MATCH($A37, '5_Exp_total_by_BEA'!$A$2:$A$74,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IFERROR(INDEX('5_Exp_total_by_BEA'!$B$2:$B$74, MATCH($A38, '5_Exp_total_by_BEA'!$A$2:$A$74,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IFERROR(INDEX('5_Exp_total_by_BEA'!$B$2:$B$74, MATCH($A39, '5_Exp_total_by_BEA'!$A$2:$A$74,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IFERROR(INDEX('5_Exp_total_by_BEA'!$B$2:$B$74, MATCH($A40, '5_Exp_total_by_BEA'!$A$2:$A$74,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IFERROR(INDEX('5_Exp_total_by_BEA'!$B$2:$B$74, MATCH($A41, '5_Exp_total_by_BEA'!$A$2:$A$74,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IFERROR(INDEX('5_Exp_total_by_BEA'!$B$2:$B$74, MATCH($A42, '5_Exp_total_by_BEA'!$A$2:$A$74,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IFERROR(INDEX('5_Exp_total_by_BEA'!$B$2:$B$74, MATCH($A43, '5_Exp_total_by_BEA'!$A$2:$A$74,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IFERROR(INDEX('5_Exp_total_by_BEA'!$B$2:$B$74, MATCH($A44, '5_Exp_total_by_BEA'!$A$2:$A$74,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IFERROR(INDEX('5_Exp_total_by_BEA'!$B$2:$B$74, MATCH($A45, '5_Exp_total_by_BEA'!$A$2:$A$74,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IFERROR(INDEX('5_Exp_total_by_BEA'!$B$2:$B$74, MATCH($A46, '5_Exp_total_by_BEA'!$A$2:$A$74,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IFERROR(INDEX('5_Exp_total_by_BEA'!$B$2:$B$74, MATCH($A47, '5_Exp_total_by_BEA'!$A$2:$A$74,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IFERROR(INDEX('5_Exp_total_by_BEA'!$B$2:$B$74, MATCH($A48, '5_Exp_total_by_BEA'!$A$2:$A$74,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IFERROR(INDEX('5_Exp_total_by_BEA'!$B$2:$B$74, MATCH($A49, '5_Exp_total_by_BEA'!$A$2:$A$74,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IFERROR(INDEX('5_Exp_total_by_BEA'!$B$2:$B$74, MATCH($A50, '5_Exp_total_by_BEA'!$A$2:$A$74,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IFERROR(INDEX('5_Exp_total_by_BEA'!$B$2:$B$74, MATCH($A51, '5_Exp_total_by_BEA'!$A$2:$A$74,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IFERROR(INDEX('5_Exp_total_by_BEA'!$B$2:$B$74, MATCH($A52, '5_Exp_total_by_BEA'!$A$2:$A$74,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IFERROR(INDEX('5_Exp_total_by_BEA'!$B$2:$B$74, MATCH($A53, '5_Exp_total_by_BEA'!$A$2:$A$74,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IFERROR(INDEX('5_Exp_total_by_BEA'!$B$2:$B$74, MATCH($A54, '5_Exp_total_by_BEA'!$A$2:$A$74,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IFERROR(INDEX('5_Exp_total_by_BEA'!$B$2:$B$74, MATCH($A55, '5_Exp_total_by_BEA'!$A$2:$A$74,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IFERROR(INDEX('5_Exp_total_by_BEA'!$B$2:$B$74, MATCH($A56, '5_Exp_total_by_BEA'!$A$2:$A$74,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IFERROR(INDEX('5_Exp_total_by_BEA'!$B$2:$B$74, MATCH($A57, '5_Exp_total_by_BEA'!$A$2:$A$74,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IFERROR(INDEX('5_Exp_total_by_BEA'!$B$2:$B$74, MATCH($A58, '5_Exp_total_by_BEA'!$A$2:$A$74,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IFERROR(INDEX('5_Exp_total_by_BEA'!$B$2:$B$74, MATCH($A59, '5_Exp_total_by_BEA'!$A$2:$A$74,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IFERROR(INDEX('5_Exp_total_by_BEA'!$B$2:$B$74, MATCH($A60, '5_Exp_total_by_BEA'!$A$2:$A$74,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IFERROR(INDEX('5_Exp_total_by_BEA'!$B$2:$B$74, MATCH($A61, '5_Exp_total_by_BEA'!$A$2:$A$74,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IFERROR(INDEX('5_Exp_total_by_BEA'!$B$2:$B$74, MATCH($A62, '5_Exp_total_by_BEA'!$A$2:$A$74,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IFERROR(INDEX('5_Exp_total_by_BEA'!$B$2:$B$74, MATCH($A63, '5_Exp_total_by_BEA'!$A$2:$A$74,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IFERROR(INDEX('5_Exp_total_by_BEA'!$B$2:$B$74, MATCH($A64, '5_Exp_total_by_BEA'!$A$2:$A$74,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IFERROR(INDEX('5_Exp_total_by_BEA'!$B$2:$B$74, MATCH($A65, '5_Exp_total_by_BEA'!$A$2:$A$74,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IFERROR(INDEX('5_Exp_total_by_BEA'!$B$2:$B$74, MATCH($A66, '5_Exp_total_by_BEA'!$A$2:$A$74,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IFERROR(INDEX('5_Exp_total_by_BEA'!$B$2:$B$74, MATCH($A67, '5_Exp_total_by_BEA'!$A$2:$A$74,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IFERROR(INDEX('5_Exp_total_by_BEA'!$B$2:$B$74, MATCH($A68, '5_Exp_total_by_BEA'!$A$2:$A$74,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IFERROR(INDEX('5_Exp_total_by_BEA'!$B$2:$B$74, MATCH($A69, '5_Exp_total_by_BEA'!$A$2:$A$74,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IFERROR(INDEX('5_Exp_total_by_BEA'!$B$2:$B$74, MATCH($A70, '5_Exp_total_by_BEA'!$A$2:$A$74,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IFERROR(INDEX('5_Exp_total_by_BEA'!$B$2:$B$74, MATCH($A71, '5_Exp_total_by_BEA'!$A$2:$A$74,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IFERROR(INDEX('5_Exp_total_by_BEA'!$B$2:$B$74, MATCH($A72, '5_Exp_total_by_BEA'!$A$2:$A$74,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IFERROR(INDEX('5_Exp_total_by_BEA'!$B$2:$B$74, MATCH($A73, '5_Exp_total_by_BEA'!$A$2:$A$74,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IFERROR(INDEX('5_Exp_total_by_BEA'!$B$2:$B$74, MATCH($A74, '5_Exp_total_by_BEA'!$A$2:$A$74,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IFERROR(INDEX('5_Exp_total_by_BEA'!$B$2:$B$74, MATCH($A75, '5_Exp_total_by_BEA'!$A$2:$A$74,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IFERROR(INDEX('5_Exp_total_by_BEA'!$B$2:$B$74, MATCH($A76, '5_Exp_total_by_BEA'!$A$2:$A$74,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IFERROR(INDEX('5_Exp_total_by_BEA'!$B$2:$B$74, MATCH($A77, '5_Exp_total_by_BEA'!$A$2:$A$74,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IFERROR(INDEX('5_Exp_total_by_BEA'!$B$2:$B$74, MATCH($A78, '5_Exp_total_by_BEA'!$A$2:$A$74,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IFERROR(INDEX('5_Exp_total_by_BEA'!$B$2:$B$74, MATCH($A79, '5_Exp_total_by_BEA'!$A$2:$A$74,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IFERROR(INDEX('5_Exp_total_by_BEA'!$B$2:$B$74, MATCH($A80, '5_Exp_total_by_BEA'!$A$2:$A$74,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IFERROR(INDEX('5_Exp_total_by_BEA'!$B$2:$B$74, MATCH($A81, '5_Exp_total_by_BEA'!$A$2:$A$74, 0)), 0)</f>
      </c>
      <c r="E81" t="str">
        <f>C81*D81</f>
      </c>
    </row>
    <row r="83">
      <c r="A83" t="s">
        <v>592</v>
      </c>
    </row>
    <row r="84">
      <c r="A84" t="s">
        <v>334</v>
      </c>
      <c r="B84" t="s">
        <v>590</v>
      </c>
      <c r="C84" t="s">
        <v>593</v>
      </c>
    </row>
    <row r="85">
      <c r="A85" t="s">
        <v>340</v>
      </c>
      <c r="B85" t="str">
        <f>SUMIFS('8_Calc_Exp_ISIC'!$E$3:$E$81, '8_Calc_Exp_ISIC'!$B$3:$B$81, $A85)</f>
      </c>
      <c r="C85" t="str">
        <f>B85/Keys!$C$2</f>
      </c>
    </row>
    <row r="86">
      <c r="A86" t="s">
        <v>482</v>
      </c>
      <c r="B86" t="str">
        <f>SUMIFS('8_Calc_Exp_ISIC'!$E$3:$E$81, '8_Calc_Exp_ISIC'!$B$3:$B$81, $A86)</f>
      </c>
      <c r="C86" t="str">
        <f>B86/Keys!$C$2</f>
      </c>
    </row>
    <row r="87">
      <c r="A87" t="s">
        <v>344</v>
      </c>
      <c r="B87" t="str">
        <f>SUMIFS('8_Calc_Exp_ISIC'!$E$3:$E$81, '8_Calc_Exp_ISIC'!$B$3:$B$81, $A87)</f>
      </c>
      <c r="C87" t="str">
        <f>B87/Keys!$C$2</f>
      </c>
    </row>
    <row r="88">
      <c r="A88" t="s">
        <v>485</v>
      </c>
      <c r="B88" t="str">
        <f>SUMIFS('8_Calc_Exp_ISIC'!$E$3:$E$81, '8_Calc_Exp_ISIC'!$B$3:$B$81, $A88)</f>
      </c>
      <c r="C88" t="str">
        <f>B88/Keys!$C$2</f>
      </c>
    </row>
    <row r="89">
      <c r="A89" t="s">
        <v>347</v>
      </c>
      <c r="B89" t="str">
        <f>SUMIFS('8_Calc_Exp_ISIC'!$E$3:$E$81, '8_Calc_Exp_ISIC'!$B$3:$B$81, $A89)</f>
      </c>
      <c r="C89" t="str">
        <f>B89/Keys!$C$2</f>
      </c>
    </row>
    <row r="90">
      <c r="A90" t="s">
        <v>362</v>
      </c>
      <c r="B90" t="str">
        <f>SUMIFS('8_Calc_Exp_ISIC'!$E$3:$E$81, '8_Calc_Exp_ISIC'!$B$3:$B$81, $A90)</f>
      </c>
      <c r="C90" t="str">
        <f>B90/Keys!$C$2</f>
      </c>
    </row>
    <row r="91">
      <c r="A91" t="s">
        <v>365</v>
      </c>
      <c r="B91" t="str">
        <f>SUMIFS('8_Calc_Exp_ISIC'!$E$3:$E$81, '8_Calc_Exp_ISIC'!$B$3:$B$81, $A91)</f>
      </c>
      <c r="C91" t="str">
        <f>B91/Keys!$C$2</f>
      </c>
    </row>
    <row r="92">
      <c r="A92" t="s">
        <v>369</v>
      </c>
      <c r="B92" t="str">
        <f>SUMIFS('8_Calc_Exp_ISIC'!$E$3:$E$81, '8_Calc_Exp_ISIC'!$B$3:$B$81, $A92)</f>
      </c>
      <c r="C92" t="str">
        <f>B92/Keys!$C$2</f>
      </c>
    </row>
    <row r="93">
      <c r="A93" t="s">
        <v>372</v>
      </c>
      <c r="B93" t="str">
        <f>SUMIFS('8_Calc_Exp_ISIC'!$E$3:$E$81, '8_Calc_Exp_ISIC'!$B$3:$B$81, $A93)</f>
      </c>
      <c r="C93" t="str">
        <f>B93/Keys!$C$2</f>
      </c>
    </row>
    <row r="94">
      <c r="A94" t="s">
        <v>376</v>
      </c>
      <c r="B94" t="str">
        <f>SUMIFS('8_Calc_Exp_ISIC'!$E$3:$E$81, '8_Calc_Exp_ISIC'!$B$3:$B$81, $A94)</f>
      </c>
      <c r="C94" t="str">
        <f>B94/Keys!$C$2</f>
      </c>
    </row>
    <row r="95">
      <c r="A95" t="s">
        <v>498</v>
      </c>
      <c r="B95" t="str">
        <f>SUMIFS('8_Calc_Exp_ISIC'!$E$3:$E$81, '8_Calc_Exp_ISIC'!$B$3:$B$81, $A95)</f>
      </c>
      <c r="C95" t="str">
        <f>B95/Keys!$C$2</f>
      </c>
    </row>
    <row r="96">
      <c r="A96" t="s">
        <v>501</v>
      </c>
      <c r="B96" t="str">
        <f>SUMIFS('8_Calc_Exp_ISIC'!$E$3:$E$81, '8_Calc_Exp_ISIC'!$B$3:$B$81, $A96)</f>
      </c>
      <c r="C96" t="str">
        <f>B96/Keys!$C$2</f>
      </c>
    </row>
    <row r="97">
      <c r="A97" t="s">
        <v>126</v>
      </c>
      <c r="B97" t="str">
        <f>SUMIFS('8_Calc_Exp_ISIC'!$E$3:$E$81, '8_Calc_Exp_ISIC'!$B$3:$B$81, $A97)</f>
      </c>
      <c r="C97" t="str">
        <f>B97/Keys!$C$2</f>
      </c>
    </row>
    <row r="98">
      <c r="A98" t="s">
        <v>488</v>
      </c>
      <c r="B98" t="str">
        <f>SUMIFS('8_Calc_Exp_ISIC'!$E$3:$E$81, '8_Calc_Exp_ISIC'!$B$3:$B$81, $A98)</f>
      </c>
      <c r="C98" t="str">
        <f>B98/Keys!$C$2</f>
      </c>
    </row>
    <row r="99">
      <c r="A99" t="s">
        <v>491</v>
      </c>
      <c r="B99" t="str">
        <f>SUMIFS('8_Calc_Exp_ISIC'!$E$3:$E$81, '8_Calc_Exp_ISIC'!$B$3:$B$81, $A99)</f>
      </c>
      <c r="C99" t="str">
        <f>B99/Keys!$C$2</f>
      </c>
    </row>
    <row r="100">
      <c r="A100" t="s">
        <v>379</v>
      </c>
      <c r="B100" t="str">
        <f>SUMIFS('8_Calc_Exp_ISIC'!$E$3:$E$81, '8_Calc_Exp_ISIC'!$B$3:$B$81, $A100)</f>
      </c>
      <c r="C100" t="str">
        <f>B100/Keys!$C$2</f>
      </c>
    </row>
    <row r="101">
      <c r="A101" t="s">
        <v>495</v>
      </c>
      <c r="B101" t="str">
        <f>SUMIFS('8_Calc_Exp_ISIC'!$E$3:$E$81, '8_Calc_Exp_ISIC'!$B$3:$B$81, $A101)</f>
      </c>
      <c r="C101" t="str">
        <f>B101/Keys!$C$2</f>
      </c>
    </row>
    <row r="102">
      <c r="A102" t="s">
        <v>385</v>
      </c>
      <c r="B102" t="str">
        <f>SUMIFS('8_Calc_Exp_ISIC'!$E$3:$E$81, '8_Calc_Exp_ISIC'!$B$3:$B$81, $A102)</f>
      </c>
      <c r="C102" t="str">
        <f>B102/Keys!$C$2</f>
      </c>
    </row>
    <row r="103">
      <c r="A103" t="s">
        <v>390</v>
      </c>
      <c r="B103" t="str">
        <f>SUMIFS('8_Calc_Exp_ISIC'!$E$3:$E$81, '8_Calc_Exp_ISIC'!$B$3:$B$81, $A103)</f>
      </c>
      <c r="C103" t="str">
        <f>B103/Keys!$C$2</f>
      </c>
    </row>
    <row r="104">
      <c r="A104" t="s">
        <v>393</v>
      </c>
      <c r="B104" t="str">
        <f>SUMIFS('8_Calc_Exp_ISIC'!$E$3:$E$81, '8_Calc_Exp_ISIC'!$B$3:$B$81, $A104)</f>
      </c>
      <c r="C104" t="str">
        <f>B104/Keys!$C$2</f>
      </c>
    </row>
    <row r="105">
      <c r="A105" t="s">
        <v>387</v>
      </c>
      <c r="B105" t="str">
        <f>SUMIFS('8_Calc_Exp_ISIC'!$E$3:$E$81, '8_Calc_Exp_ISIC'!$B$3:$B$81, $A105)</f>
      </c>
      <c r="C105" t="str">
        <f>B105/Keys!$C$2</f>
      </c>
    </row>
    <row r="106">
      <c r="A106" t="s">
        <v>396</v>
      </c>
      <c r="B106" t="str">
        <f>SUMIFS('8_Calc_Exp_ISIC'!$E$3:$E$81, '8_Calc_Exp_ISIC'!$B$3:$B$81, $A106)</f>
      </c>
      <c r="C106" t="str">
        <f>B106/Keys!$C$2</f>
      </c>
    </row>
    <row r="107">
      <c r="A107" t="s">
        <v>399</v>
      </c>
      <c r="B107" t="str">
        <f>SUMIFS('8_Calc_Exp_ISIC'!$E$3:$E$81, '8_Calc_Exp_ISIC'!$B$3:$B$81, $A107)</f>
      </c>
      <c r="C107" t="str">
        <f>B107/Keys!$C$2</f>
      </c>
    </row>
    <row r="108">
      <c r="A108" t="s">
        <v>402</v>
      </c>
      <c r="B108" t="str">
        <f>SUMIFS('8_Calc_Exp_ISIC'!$E$3:$E$81, '8_Calc_Exp_ISIC'!$B$3:$B$81, $A108)</f>
      </c>
      <c r="C108" t="str">
        <f>B108/Keys!$C$2</f>
      </c>
    </row>
    <row r="109">
      <c r="A109" t="s">
        <v>350</v>
      </c>
      <c r="B109" t="str">
        <f>SUMIFS('8_Calc_Exp_ISIC'!$E$3:$E$81, '8_Calc_Exp_ISIC'!$B$3:$B$81, $A109)</f>
      </c>
      <c r="C109" t="str">
        <f>B109/Keys!$C$2</f>
      </c>
    </row>
    <row r="110">
      <c r="A110" t="s">
        <v>353</v>
      </c>
      <c r="B110" t="str">
        <f>SUMIFS('8_Calc_Exp_ISIC'!$E$3:$E$81, '8_Calc_Exp_ISIC'!$B$3:$B$81, $A110)</f>
      </c>
      <c r="C110" t="str">
        <f>B110/Keys!$C$2</f>
      </c>
    </row>
    <row r="111">
      <c r="A111" t="s">
        <v>356</v>
      </c>
      <c r="B111" t="str">
        <f>SUMIFS('8_Calc_Exp_ISIC'!$E$3:$E$81, '8_Calc_Exp_ISIC'!$B$3:$B$81, $A111)</f>
      </c>
      <c r="C111" t="str">
        <f>B111/Keys!$C$2</f>
      </c>
    </row>
    <row r="112">
      <c r="A112" t="s">
        <v>360</v>
      </c>
      <c r="B112" t="str">
        <f>SUMIFS('8_Calc_Exp_ISIC'!$E$3:$E$81, '8_Calc_Exp_ISIC'!$B$3:$B$81, $A112)</f>
      </c>
      <c r="C112" t="str">
        <f>B112/Keys!$C$2</f>
      </c>
    </row>
    <row r="113">
      <c r="A113" t="s">
        <v>406</v>
      </c>
      <c r="B113" t="str">
        <f>SUMIFS('8_Calc_Exp_ISIC'!$E$3:$E$81, '8_Calc_Exp_ISIC'!$B$3:$B$81, $A113)</f>
      </c>
      <c r="C113" t="str">
        <f>B113/Keys!$C$2</f>
      </c>
    </row>
    <row r="114">
      <c r="A114" t="s">
        <v>413</v>
      </c>
      <c r="B114" t="str">
        <f>SUMIFS('8_Calc_Exp_ISIC'!$E$3:$E$81, '8_Calc_Exp_ISIC'!$B$3:$B$81, $A114)</f>
      </c>
      <c r="C114" t="str">
        <f>B114/Keys!$C$2</f>
      </c>
    </row>
    <row r="115">
      <c r="A115" t="s">
        <v>470</v>
      </c>
      <c r="B115" t="str">
        <f>SUMIFS('8_Calc_Exp_ISIC'!$E$3:$E$81, '8_Calc_Exp_ISIC'!$B$3:$B$81, $A115)</f>
      </c>
      <c r="C115" t="str">
        <f>B115/Keys!$C$2</f>
      </c>
    </row>
    <row r="116">
      <c r="A116" t="s">
        <v>425</v>
      </c>
      <c r="B116" t="str">
        <f>SUMIFS('8_Calc_Exp_ISIC'!$E$3:$E$81, '8_Calc_Exp_ISIC'!$B$3:$B$81, $A116)</f>
      </c>
      <c r="C116" t="str">
        <f>B116/Keys!$C$2</f>
      </c>
    </row>
    <row r="117">
      <c r="A117" t="s">
        <v>177</v>
      </c>
      <c r="B117" t="str">
        <f>SUMIFS('8_Calc_Exp_ISIC'!$E$3:$E$81, '8_Calc_Exp_ISIC'!$B$3:$B$81, $A117)</f>
      </c>
      <c r="C117" t="str">
        <f>B117/Keys!$C$2</f>
      </c>
    </row>
    <row r="118">
      <c r="A118" t="s">
        <v>432</v>
      </c>
      <c r="B118" t="str">
        <f>SUMIFS('8_Calc_Exp_ISIC'!$E$3:$E$81, '8_Calc_Exp_ISIC'!$B$3:$B$81, $A118)</f>
      </c>
      <c r="C118" t="str">
        <f>B118/Keys!$C$2</f>
      </c>
    </row>
    <row r="119">
      <c r="A119" t="s">
        <v>435</v>
      </c>
      <c r="B119" t="str">
        <f>SUMIFS('8_Calc_Exp_ISIC'!$E$3:$E$81, '8_Calc_Exp_ISIC'!$B$3:$B$81, $A119)</f>
      </c>
      <c r="C119" t="str">
        <f>B119/Keys!$C$2</f>
      </c>
    </row>
    <row r="120">
      <c r="A120" t="s">
        <v>441</v>
      </c>
      <c r="B120" t="str">
        <f>SUMIFS('8_Calc_Exp_ISIC'!$E$3:$E$81, '8_Calc_Exp_ISIC'!$B$3:$B$81, $A120)</f>
      </c>
      <c r="C120" t="str">
        <f>B120/Keys!$C$2</f>
      </c>
    </row>
    <row r="121">
      <c r="A121" t="s">
        <v>445</v>
      </c>
      <c r="B121" t="str">
        <f>SUMIFS('8_Calc_Exp_ISIC'!$E$3:$E$81, '8_Calc_Exp_ISIC'!$B$3:$B$81, $A121)</f>
      </c>
      <c r="C121" t="str">
        <f>B121/Keys!$C$2</f>
      </c>
    </row>
    <row r="122">
      <c r="A122" t="s">
        <v>475</v>
      </c>
      <c r="B122" t="str">
        <f>SUMIFS('8_Calc_Exp_ISIC'!$E$3:$E$81, '8_Calc_Exp_ISIC'!$B$3:$B$81, $A122)</f>
      </c>
      <c r="C122" t="str">
        <f>B122/Keys!$C$2</f>
      </c>
    </row>
    <row r="123">
      <c r="A123" t="s">
        <v>457</v>
      </c>
      <c r="B123" t="str">
        <f>SUMIFS('8_Calc_Exp_ISIC'!$E$3:$E$81, '8_Calc_Exp_ISIC'!$B$3:$B$81, $A123)</f>
      </c>
      <c r="C123" t="str">
        <f>B123/Keys!$C$2</f>
      </c>
    </row>
    <row r="124">
      <c r="A124" t="s">
        <v>460</v>
      </c>
      <c r="B124" t="str">
        <f>SUMIFS('8_Calc_Exp_ISIC'!$E$3:$E$81, '8_Calc_Exp_ISIC'!$B$3:$B$81, $A124)</f>
      </c>
      <c r="C124" t="str">
        <f>B124/Keys!$C$2</f>
      </c>
    </row>
    <row r="125">
      <c r="A125" t="s">
        <v>466</v>
      </c>
      <c r="B125" t="str">
        <f>SUMIFS('8_Calc_Exp_ISIC'!$E$3:$E$81, '8_Calc_Exp_ISIC'!$B$3:$B$81, $A125)</f>
      </c>
      <c r="C125" t="str">
        <f>B125/Keys!$C$2</f>
      </c>
    </row>
    <row r="126">
      <c r="A126" t="s">
        <v>583</v>
      </c>
      <c r="B126" t="str">
        <f>SUMIFS('8_Calc_Exp_ISIC'!$E$3:$E$81, '8_Calc_Exp_ISIC'!$B$3:$B$81,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334</v>
      </c>
      <c r="B1" t="s">
        <v>594</v>
      </c>
    </row>
    <row r="2">
      <c r="A2" t="s">
        <v>340</v>
      </c>
      <c r="B2" t="n">
        <v>4100351735.1143</v>
      </c>
    </row>
    <row r="3">
      <c r="A3" t="s">
        <v>482</v>
      </c>
      <c r="B3" t="n">
        <v>0</v>
      </c>
    </row>
    <row r="4">
      <c r="A4" t="s">
        <v>344</v>
      </c>
      <c r="B4" t="n">
        <v>313739504.876382</v>
      </c>
    </row>
    <row r="5">
      <c r="A5" t="s">
        <v>485</v>
      </c>
      <c r="B5" t="n">
        <v>515774843.471213</v>
      </c>
    </row>
    <row r="6">
      <c r="A6" t="s">
        <v>347</v>
      </c>
      <c r="B6" t="n">
        <v>506135597.690985</v>
      </c>
    </row>
    <row r="7">
      <c r="A7" t="s">
        <v>362</v>
      </c>
      <c r="B7" t="n">
        <v>14312956030.9741</v>
      </c>
    </row>
    <row r="8">
      <c r="A8" t="s">
        <v>365</v>
      </c>
      <c r="B8" t="n">
        <v>229107961.628967</v>
      </c>
    </row>
    <row r="9">
      <c r="A9" t="s">
        <v>369</v>
      </c>
      <c r="B9" t="n">
        <v>2450683016.97646</v>
      </c>
    </row>
    <row r="10">
      <c r="A10" t="s">
        <v>372</v>
      </c>
      <c r="B10" t="n">
        <v>4810150690.40172</v>
      </c>
    </row>
    <row r="11">
      <c r="A11" t="s">
        <v>376</v>
      </c>
      <c r="B11" t="n">
        <v>1569629459.87115</v>
      </c>
    </row>
    <row r="12">
      <c r="A12" t="s">
        <v>498</v>
      </c>
      <c r="B12" t="n">
        <v>2115953590.73338</v>
      </c>
    </row>
    <row r="13">
      <c r="A13" t="s">
        <v>501</v>
      </c>
      <c r="B13" t="n">
        <v>235105954.525931</v>
      </c>
    </row>
    <row r="14">
      <c r="A14" t="s">
        <v>126</v>
      </c>
      <c r="B14" t="n">
        <v>3424923178.50785</v>
      </c>
    </row>
    <row r="15">
      <c r="A15" t="s">
        <v>488</v>
      </c>
      <c r="B15" t="n">
        <v>75643851.8853768</v>
      </c>
    </row>
    <row r="16">
      <c r="A16" t="s">
        <v>491</v>
      </c>
      <c r="B16" t="n">
        <v>680794666.968391</v>
      </c>
    </row>
    <row r="17">
      <c r="A17" t="s">
        <v>379</v>
      </c>
      <c r="B17" t="n">
        <v>3188935655.498</v>
      </c>
    </row>
    <row r="18">
      <c r="A18" t="s">
        <v>495</v>
      </c>
      <c r="B18" t="n">
        <v>3125235812.69365</v>
      </c>
    </row>
    <row r="19">
      <c r="A19" t="s">
        <v>385</v>
      </c>
      <c r="B19" t="n">
        <v>3814731664.96372</v>
      </c>
    </row>
    <row r="20">
      <c r="A20" t="s">
        <v>390</v>
      </c>
      <c r="B20" t="n">
        <v>287575062.374639</v>
      </c>
    </row>
    <row r="21">
      <c r="A21" t="s">
        <v>393</v>
      </c>
      <c r="B21" t="n">
        <v>1107567646.2333</v>
      </c>
    </row>
    <row r="22">
      <c r="A22" t="s">
        <v>387</v>
      </c>
      <c r="B22" t="n">
        <v>3225325901.04947</v>
      </c>
    </row>
    <row r="23">
      <c r="A23" t="s">
        <v>396</v>
      </c>
      <c r="B23" t="n">
        <v>1804621939.19393</v>
      </c>
    </row>
    <row r="24">
      <c r="A24" t="s">
        <v>399</v>
      </c>
      <c r="B24" t="n">
        <v>1865316393.95874</v>
      </c>
    </row>
    <row r="25">
      <c r="A25" t="s">
        <v>402</v>
      </c>
      <c r="B25" t="n">
        <v>876836871.741255</v>
      </c>
    </row>
    <row r="26">
      <c r="A26" t="s">
        <v>350</v>
      </c>
      <c r="B26" t="n">
        <v>3522904463.78511</v>
      </c>
    </row>
    <row r="27">
      <c r="A27" t="s">
        <v>353</v>
      </c>
      <c r="B27" t="n">
        <v>1096466267.1784</v>
      </c>
    </row>
    <row r="28">
      <c r="A28" t="s">
        <v>356</v>
      </c>
      <c r="B28" t="n">
        <v>1233497216.0786</v>
      </c>
    </row>
    <row r="29">
      <c r="A29" t="s">
        <v>360</v>
      </c>
      <c r="B29" t="n">
        <v>8498678289.50175</v>
      </c>
    </row>
    <row r="30">
      <c r="A30" t="s">
        <v>406</v>
      </c>
      <c r="B30" t="n">
        <v>29418342289.2996</v>
      </c>
    </row>
    <row r="31">
      <c r="A31" t="s">
        <v>413</v>
      </c>
      <c r="B31" t="n">
        <v>10336601932.8889</v>
      </c>
    </row>
    <row r="32">
      <c r="A32" t="s">
        <v>470</v>
      </c>
      <c r="B32" t="n">
        <v>6557385078.74169</v>
      </c>
    </row>
    <row r="33">
      <c r="A33" t="s">
        <v>425</v>
      </c>
      <c r="B33" t="n">
        <v>1198650499.57495</v>
      </c>
    </row>
    <row r="34">
      <c r="A34" t="s">
        <v>177</v>
      </c>
      <c r="B34" t="n">
        <v>1651660630.9741</v>
      </c>
    </row>
    <row r="35">
      <c r="A35" t="s">
        <v>432</v>
      </c>
      <c r="B35" t="n">
        <v>2290366948.15911</v>
      </c>
    </row>
    <row r="36">
      <c r="A36" t="s">
        <v>435</v>
      </c>
      <c r="B36" t="n">
        <v>10849326870.9201</v>
      </c>
    </row>
    <row r="37">
      <c r="A37" t="s">
        <v>441</v>
      </c>
      <c r="B37" t="n">
        <v>16953204243.1557</v>
      </c>
    </row>
    <row r="38">
      <c r="A38" t="s">
        <v>445</v>
      </c>
      <c r="B38" t="n">
        <v>19696389302.7495</v>
      </c>
    </row>
    <row r="39">
      <c r="A39" t="s">
        <v>475</v>
      </c>
      <c r="B39" t="n">
        <v>23912059882.1689</v>
      </c>
    </row>
    <row r="40">
      <c r="A40" t="s">
        <v>457</v>
      </c>
      <c r="B40" t="n">
        <v>1129021744.95935</v>
      </c>
    </row>
    <row r="41">
      <c r="A41" t="s">
        <v>460</v>
      </c>
      <c r="B41" t="n">
        <v>17082211196.533</v>
      </c>
    </row>
    <row r="42">
      <c r="A42" t="s">
        <v>466</v>
      </c>
      <c r="B42" t="n">
        <v>5708378339.31104</v>
      </c>
    </row>
    <row r="43">
      <c r="A43" t="s">
        <v>583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595</v>
      </c>
      <c r="C1" t="s">
        <v>338</v>
      </c>
    </row>
    <row r="2">
      <c r="A2" t="s">
        <v>482</v>
      </c>
      <c r="B2" t="n">
        <v>0</v>
      </c>
      <c r="C2" t="s">
        <v>596</v>
      </c>
    </row>
    <row r="3">
      <c r="A3" t="s">
        <v>344</v>
      </c>
      <c r="B3" t="n">
        <v>0.731691935314345</v>
      </c>
      <c r="C3" t="s">
        <v>597</v>
      </c>
    </row>
    <row r="4">
      <c r="A4" t="s">
        <v>350</v>
      </c>
      <c r="B4" t="n">
        <v>1</v>
      </c>
      <c r="C4" t="s">
        <v>598</v>
      </c>
    </row>
    <row r="5">
      <c r="A5" t="s">
        <v>356</v>
      </c>
      <c r="B5" t="n">
        <v>1</v>
      </c>
      <c r="C5" t="s">
        <v>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600</v>
      </c>
      <c r="C1" t="s">
        <v>338</v>
      </c>
    </row>
    <row r="2">
      <c r="A2" t="s">
        <v>356</v>
      </c>
      <c r="B2" t="n">
        <v>0</v>
      </c>
      <c r="C2" t="s">
        <v>601</v>
      </c>
    </row>
    <row r="3">
      <c r="A3" t="s">
        <v>350</v>
      </c>
      <c r="B3" t="n">
        <v>0.203375793013202</v>
      </c>
      <c r="C3" t="s">
        <v>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603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IFERROR(INDEX('6_Calc_DCS_num_ISIC'!$C$85:$C$126, MATCH($A3, '6_Calc_DCS_num_ISIC'!$A$85:$A$126, 0)), 0)</f>
      </c>
      <c r="C3" t="str">
        <f>IFERROR(INDEX('7_Calc_DCS_den_ISIC'!$C$85:$C$126, MATCH($A3, '7_Calc_DCS_den_ISIC'!$A$85:$A$126, 0)), 0)</f>
      </c>
      <c r="D3" t="str">
        <f>B3/MAX(C3, Keys!$C$4)</f>
      </c>
      <c r="E3" t="str">
        <f>MIN(1, MAX(0, D3))</f>
      </c>
      <c r="F3" t="str">
        <f>IFERROR(INDEX('9b_DCS_overrides'!$B$2:$B$5, MATCH($A3, '9b_DCS_overrides'!$A$2:$A$5, 0)), E3)</f>
      </c>
    </row>
    <row r="4">
      <c r="A4" t="s">
        <v>482</v>
      </c>
      <c r="B4" t="str">
        <f>IFERROR(INDEX('6_Calc_DCS_num_ISIC'!$C$85:$C$126, MATCH($A4, '6_Calc_DCS_num_ISIC'!$A$85:$A$126, 0)), 0)</f>
      </c>
      <c r="C4" t="str">
        <f>IFERROR(INDEX('7_Calc_DCS_den_ISIC'!$C$85:$C$126, MATCH($A4, '7_Calc_DCS_den_ISIC'!$A$85:$A$126, 0)), 0)</f>
      </c>
      <c r="D4" t="str">
        <f>B4/MAX(C4, Keys!$C$4)</f>
      </c>
      <c r="E4" t="str">
        <f>MIN(1, MAX(0, D4))</f>
      </c>
      <c r="F4" t="str">
        <f>IFERROR(INDEX('9b_DCS_overrides'!$B$2:$B$5, MATCH($A4, '9b_DCS_overrides'!$A$2:$A$5, 0)), E4)</f>
      </c>
    </row>
    <row r="5">
      <c r="A5" t="s">
        <v>344</v>
      </c>
      <c r="B5" t="str">
        <f>IFERROR(INDEX('6_Calc_DCS_num_ISIC'!$C$85:$C$126, MATCH($A5, '6_Calc_DCS_num_ISIC'!$A$85:$A$126, 0)), 0)</f>
      </c>
      <c r="C5" t="str">
        <f>IFERROR(INDEX('7_Calc_DCS_den_ISIC'!$C$85:$C$126, MATCH($A5, '7_Calc_DCS_den_ISIC'!$A$85:$A$126, 0)), 0)</f>
      </c>
      <c r="D5" t="str">
        <f>B5/MAX(C5, Keys!$C$4)</f>
      </c>
      <c r="E5" t="str">
        <f>MIN(1, MAX(0, D5))</f>
      </c>
      <c r="F5" t="str">
        <f>IFERROR(INDEX('9b_DCS_overrides'!$B$2:$B$5, MATCH($A5, '9b_DCS_overrides'!$A$2:$A$5, 0)), E5)</f>
      </c>
    </row>
    <row r="6">
      <c r="A6" t="s">
        <v>485</v>
      </c>
      <c r="B6" t="str">
        <f>IFERROR(INDEX('6_Calc_DCS_num_ISIC'!$C$85:$C$126, MATCH($A6, '6_Calc_DCS_num_ISIC'!$A$85:$A$126, 0)), 0)</f>
      </c>
      <c r="C6" t="str">
        <f>IFERROR(INDEX('7_Calc_DCS_den_ISIC'!$C$85:$C$126, MATCH($A6, '7_Calc_DCS_den_ISIC'!$A$85:$A$126, 0)), 0)</f>
      </c>
      <c r="D6" t="str">
        <f>B6/MAX(C6, Keys!$C$4)</f>
      </c>
      <c r="E6" t="str">
        <f>MIN(1, MAX(0, D6))</f>
      </c>
      <c r="F6" t="str">
        <f>IFERROR(INDEX('9b_DCS_overrides'!$B$2:$B$5, MATCH($A6, '9b_DCS_overrides'!$A$2:$A$5, 0)), E6)</f>
      </c>
    </row>
    <row r="7">
      <c r="A7" t="s">
        <v>347</v>
      </c>
      <c r="B7" t="str">
        <f>IFERROR(INDEX('6_Calc_DCS_num_ISIC'!$C$85:$C$126, MATCH($A7, '6_Calc_DCS_num_ISIC'!$A$85:$A$126, 0)), 0)</f>
      </c>
      <c r="C7" t="str">
        <f>IFERROR(INDEX('7_Calc_DCS_den_ISIC'!$C$85:$C$126, MATCH($A7, '7_Calc_DCS_den_ISIC'!$A$85:$A$126, 0)), 0)</f>
      </c>
      <c r="D7" t="str">
        <f>B7/MAX(C7, Keys!$C$4)</f>
      </c>
      <c r="E7" t="str">
        <f>MIN(1, MAX(0, D7))</f>
      </c>
      <c r="F7" t="str">
        <f>IFERROR(INDEX('9b_DCS_overrides'!$B$2:$B$5, MATCH($A7, '9b_DCS_overrides'!$A$2:$A$5, 0)), E7)</f>
      </c>
    </row>
    <row r="8">
      <c r="A8" t="s">
        <v>362</v>
      </c>
      <c r="B8" t="str">
        <f>IFERROR(INDEX('6_Calc_DCS_num_ISIC'!$C$85:$C$126, MATCH($A8, '6_Calc_DCS_num_ISIC'!$A$85:$A$126, 0)), 0)</f>
      </c>
      <c r="C8" t="str">
        <f>IFERROR(INDEX('7_Calc_DCS_den_ISIC'!$C$85:$C$126, MATCH($A8, '7_Calc_DCS_den_ISIC'!$A$85:$A$126, 0)), 0)</f>
      </c>
      <c r="D8" t="str">
        <f>B8/MAX(C8, Keys!$C$4)</f>
      </c>
      <c r="E8" t="str">
        <f>MIN(1, MAX(0, D8))</f>
      </c>
      <c r="F8" t="str">
        <f>IFERROR(INDEX('9b_DCS_overrides'!$B$2:$B$5, MATCH($A8, '9b_DCS_overrides'!$A$2:$A$5, 0)), E8)</f>
      </c>
    </row>
    <row r="9">
      <c r="A9" t="s">
        <v>365</v>
      </c>
      <c r="B9" t="str">
        <f>IFERROR(INDEX('6_Calc_DCS_num_ISIC'!$C$85:$C$126, MATCH($A9, '6_Calc_DCS_num_ISIC'!$A$85:$A$126, 0)), 0)</f>
      </c>
      <c r="C9" t="str">
        <f>IFERROR(INDEX('7_Calc_DCS_den_ISIC'!$C$85:$C$126, MATCH($A9, '7_Calc_DCS_den_ISIC'!$A$85:$A$126, 0)), 0)</f>
      </c>
      <c r="D9" t="str">
        <f>B9/MAX(C9, Keys!$C$4)</f>
      </c>
      <c r="E9" t="str">
        <f>MIN(1, MAX(0, D9))</f>
      </c>
      <c r="F9" t="str">
        <f>IFERROR(INDEX('9b_DCS_overrides'!$B$2:$B$5, MATCH($A9, '9b_DCS_overrides'!$A$2:$A$5, 0)), E9)</f>
      </c>
    </row>
    <row r="10">
      <c r="A10" t="s">
        <v>369</v>
      </c>
      <c r="B10" t="str">
        <f>IFERROR(INDEX('6_Calc_DCS_num_ISIC'!$C$85:$C$126, MATCH($A10, '6_Calc_DCS_num_ISIC'!$A$85:$A$126, 0)), 0)</f>
      </c>
      <c r="C10" t="str">
        <f>IFERROR(INDEX('7_Calc_DCS_den_ISIC'!$C$85:$C$126, MATCH($A10, '7_Calc_DCS_den_ISIC'!$A$85:$A$126, 0)), 0)</f>
      </c>
      <c r="D10" t="str">
        <f>B10/MAX(C10, Keys!$C$4)</f>
      </c>
      <c r="E10" t="str">
        <f>MIN(1, MAX(0, D10))</f>
      </c>
      <c r="F10" t="str">
        <f>IFERROR(INDEX('9b_DCS_overrides'!$B$2:$B$5, MATCH($A10, '9b_DCS_overrides'!$A$2:$A$5, 0)), E10)</f>
      </c>
    </row>
    <row r="11">
      <c r="A11" t="s">
        <v>372</v>
      </c>
      <c r="B11" t="str">
        <f>IFERROR(INDEX('6_Calc_DCS_num_ISIC'!$C$85:$C$126, MATCH($A11, '6_Calc_DCS_num_ISIC'!$A$85:$A$126, 0)), 0)</f>
      </c>
      <c r="C11" t="str">
        <f>IFERROR(INDEX('7_Calc_DCS_den_ISIC'!$C$85:$C$126, MATCH($A11, '7_Calc_DCS_den_ISIC'!$A$85:$A$126, 0)), 0)</f>
      </c>
      <c r="D11" t="str">
        <f>B11/MAX(C11, Keys!$C$4)</f>
      </c>
      <c r="E11" t="str">
        <f>MIN(1, MAX(0, D11))</f>
      </c>
      <c r="F11" t="str">
        <f>IFERROR(INDEX('9b_DCS_overrides'!$B$2:$B$5, MATCH($A11, '9b_DCS_overrides'!$A$2:$A$5, 0)), E11)</f>
      </c>
    </row>
    <row r="12">
      <c r="A12" t="s">
        <v>376</v>
      </c>
      <c r="B12" t="str">
        <f>IFERROR(INDEX('6_Calc_DCS_num_ISIC'!$C$85:$C$126, MATCH($A12, '6_Calc_DCS_num_ISIC'!$A$85:$A$126, 0)), 0)</f>
      </c>
      <c r="C12" t="str">
        <f>IFERROR(INDEX('7_Calc_DCS_den_ISIC'!$C$85:$C$126, MATCH($A12, '7_Calc_DCS_den_ISIC'!$A$85:$A$126, 0)), 0)</f>
      </c>
      <c r="D12" t="str">
        <f>B12/MAX(C12, Keys!$C$4)</f>
      </c>
      <c r="E12" t="str">
        <f>MIN(1, MAX(0, D12))</f>
      </c>
      <c r="F12" t="str">
        <f>IFERROR(INDEX('9b_DCS_overrides'!$B$2:$B$5, MATCH($A12, '9b_DCS_overrides'!$A$2:$A$5, 0)), E12)</f>
      </c>
    </row>
    <row r="13">
      <c r="A13" t="s">
        <v>498</v>
      </c>
      <c r="B13" t="str">
        <f>IFERROR(INDEX('6_Calc_DCS_num_ISIC'!$C$85:$C$126, MATCH($A13, '6_Calc_DCS_num_ISIC'!$A$85:$A$126, 0)), 0)</f>
      </c>
      <c r="C13" t="str">
        <f>IFERROR(INDEX('7_Calc_DCS_den_ISIC'!$C$85:$C$126, MATCH($A13, '7_Calc_DCS_den_ISIC'!$A$85:$A$126, 0)), 0)</f>
      </c>
      <c r="D13" t="str">
        <f>B13/MAX(C13, Keys!$C$4)</f>
      </c>
      <c r="E13" t="str">
        <f>MIN(1, MAX(0, D13))</f>
      </c>
      <c r="F13" t="str">
        <f>IFERROR(INDEX('9b_DCS_overrides'!$B$2:$B$5, MATCH($A13, '9b_DCS_overrides'!$A$2:$A$5, 0)), E13)</f>
      </c>
    </row>
    <row r="14">
      <c r="A14" t="s">
        <v>501</v>
      </c>
      <c r="B14" t="str">
        <f>IFERROR(INDEX('6_Calc_DCS_num_ISIC'!$C$85:$C$126, MATCH($A14, '6_Calc_DCS_num_ISIC'!$A$85:$A$126, 0)), 0)</f>
      </c>
      <c r="C14" t="str">
        <f>IFERROR(INDEX('7_Calc_DCS_den_ISIC'!$C$85:$C$126, MATCH($A14, '7_Calc_DCS_den_ISIC'!$A$85:$A$126, 0)), 0)</f>
      </c>
      <c r="D14" t="str">
        <f>B14/MAX(C14, Keys!$C$4)</f>
      </c>
      <c r="E14" t="str">
        <f>MIN(1, MAX(0, D14))</f>
      </c>
      <c r="F14" t="str">
        <f>IFERROR(INDEX('9b_DCS_overrides'!$B$2:$B$5, MATCH($A14, '9b_DCS_overrides'!$A$2:$A$5, 0)), E14)</f>
      </c>
    </row>
    <row r="15">
      <c r="A15" t="s">
        <v>126</v>
      </c>
      <c r="B15" t="str">
        <f>IFERROR(INDEX('6_Calc_DCS_num_ISIC'!$C$85:$C$126, MATCH($A15, '6_Calc_DCS_num_ISIC'!$A$85:$A$126, 0)), 0)</f>
      </c>
      <c r="C15" t="str">
        <f>IFERROR(INDEX('7_Calc_DCS_den_ISIC'!$C$85:$C$126, MATCH($A15, '7_Calc_DCS_den_ISIC'!$A$85:$A$126, 0)), 0)</f>
      </c>
      <c r="D15" t="str">
        <f>B15/MAX(C15, Keys!$C$4)</f>
      </c>
      <c r="E15" t="str">
        <f>MIN(1, MAX(0, D15))</f>
      </c>
      <c r="F15" t="str">
        <f>IFERROR(INDEX('9b_DCS_overrides'!$B$2:$B$5, MATCH($A15, '9b_DCS_overrides'!$A$2:$A$5, 0)), E15)</f>
      </c>
    </row>
    <row r="16">
      <c r="A16" t="s">
        <v>488</v>
      </c>
      <c r="B16" t="str">
        <f>IFERROR(INDEX('6_Calc_DCS_num_ISIC'!$C$85:$C$126, MATCH($A16, '6_Calc_DCS_num_ISIC'!$A$85:$A$126, 0)), 0)</f>
      </c>
      <c r="C16" t="str">
        <f>IFERROR(INDEX('7_Calc_DCS_den_ISIC'!$C$85:$C$126, MATCH($A16, '7_Calc_DCS_den_ISIC'!$A$85:$A$126, 0)), 0)</f>
      </c>
      <c r="D16" t="str">
        <f>B16/MAX(C16, Keys!$C$4)</f>
      </c>
      <c r="E16" t="str">
        <f>MIN(1, MAX(0, D16))</f>
      </c>
      <c r="F16" t="str">
        <f>IFERROR(INDEX('9b_DCS_overrides'!$B$2:$B$5, MATCH($A16, '9b_DCS_overrides'!$A$2:$A$5, 0)), E16)</f>
      </c>
    </row>
    <row r="17">
      <c r="A17" t="s">
        <v>491</v>
      </c>
      <c r="B17" t="str">
        <f>IFERROR(INDEX('6_Calc_DCS_num_ISIC'!$C$85:$C$126, MATCH($A17, '6_Calc_DCS_num_ISIC'!$A$85:$A$126, 0)), 0)</f>
      </c>
      <c r="C17" t="str">
        <f>IFERROR(INDEX('7_Calc_DCS_den_ISIC'!$C$85:$C$126, MATCH($A17, '7_Calc_DCS_den_ISIC'!$A$85:$A$126, 0)), 0)</f>
      </c>
      <c r="D17" t="str">
        <f>B17/MAX(C17, Keys!$C$4)</f>
      </c>
      <c r="E17" t="str">
        <f>MIN(1, MAX(0, D17))</f>
      </c>
      <c r="F17" t="str">
        <f>IFERROR(INDEX('9b_DCS_overrides'!$B$2:$B$5, MATCH($A17, '9b_DCS_overrides'!$A$2:$A$5, 0)), E17)</f>
      </c>
    </row>
    <row r="18">
      <c r="A18" t="s">
        <v>379</v>
      </c>
      <c r="B18" t="str">
        <f>IFERROR(INDEX('6_Calc_DCS_num_ISIC'!$C$85:$C$126, MATCH($A18, '6_Calc_DCS_num_ISIC'!$A$85:$A$126, 0)), 0)</f>
      </c>
      <c r="C18" t="str">
        <f>IFERROR(INDEX('7_Calc_DCS_den_ISIC'!$C$85:$C$126, MATCH($A18, '7_Calc_DCS_den_ISIC'!$A$85:$A$126, 0)), 0)</f>
      </c>
      <c r="D18" t="str">
        <f>B18/MAX(C18, Keys!$C$4)</f>
      </c>
      <c r="E18" t="str">
        <f>MIN(1, MAX(0, D18))</f>
      </c>
      <c r="F18" t="str">
        <f>IFERROR(INDEX('9b_DCS_overrides'!$B$2:$B$5, MATCH($A18, '9b_DCS_overrides'!$A$2:$A$5, 0)), E18)</f>
      </c>
    </row>
    <row r="19">
      <c r="A19" t="s">
        <v>495</v>
      </c>
      <c r="B19" t="str">
        <f>IFERROR(INDEX('6_Calc_DCS_num_ISIC'!$C$85:$C$126, MATCH($A19, '6_Calc_DCS_num_ISIC'!$A$85:$A$126, 0)), 0)</f>
      </c>
      <c r="C19" t="str">
        <f>IFERROR(INDEX('7_Calc_DCS_den_ISIC'!$C$85:$C$126, MATCH($A19, '7_Calc_DCS_den_ISIC'!$A$85:$A$126, 0)), 0)</f>
      </c>
      <c r="D19" t="str">
        <f>B19/MAX(C19, Keys!$C$4)</f>
      </c>
      <c r="E19" t="str">
        <f>MIN(1, MAX(0, D19))</f>
      </c>
      <c r="F19" t="str">
        <f>IFERROR(INDEX('9b_DCS_overrides'!$B$2:$B$5, MATCH($A19, '9b_DCS_overrides'!$A$2:$A$5, 0)), E19)</f>
      </c>
    </row>
    <row r="20">
      <c r="A20" t="s">
        <v>385</v>
      </c>
      <c r="B20" t="str">
        <f>IFERROR(INDEX('6_Calc_DCS_num_ISIC'!$C$85:$C$126, MATCH($A20, '6_Calc_DCS_num_ISIC'!$A$85:$A$126, 0)), 0)</f>
      </c>
      <c r="C20" t="str">
        <f>IFERROR(INDEX('7_Calc_DCS_den_ISIC'!$C$85:$C$126, MATCH($A20, '7_Calc_DCS_den_ISIC'!$A$85:$A$126, 0)), 0)</f>
      </c>
      <c r="D20" t="str">
        <f>B20/MAX(C20, Keys!$C$4)</f>
      </c>
      <c r="E20" t="str">
        <f>MIN(1, MAX(0, D20))</f>
      </c>
      <c r="F20" t="str">
        <f>IFERROR(INDEX('9b_DCS_overrides'!$B$2:$B$5, MATCH($A20, '9b_DCS_overrides'!$A$2:$A$5, 0)), E20)</f>
      </c>
    </row>
    <row r="21">
      <c r="A21" t="s">
        <v>390</v>
      </c>
      <c r="B21" t="str">
        <f>IFERROR(INDEX('6_Calc_DCS_num_ISIC'!$C$85:$C$126, MATCH($A21, '6_Calc_DCS_num_ISIC'!$A$85:$A$126, 0)), 0)</f>
      </c>
      <c r="C21" t="str">
        <f>IFERROR(INDEX('7_Calc_DCS_den_ISIC'!$C$85:$C$126, MATCH($A21, '7_Calc_DCS_den_ISIC'!$A$85:$A$126, 0)), 0)</f>
      </c>
      <c r="D21" t="str">
        <f>B21/MAX(C21, Keys!$C$4)</f>
      </c>
      <c r="E21" t="str">
        <f>MIN(1, MAX(0, D21))</f>
      </c>
      <c r="F21" t="str">
        <f>IFERROR(INDEX('9b_DCS_overrides'!$B$2:$B$5, MATCH($A21, '9b_DCS_overrides'!$A$2:$A$5, 0)), E21)</f>
      </c>
    </row>
    <row r="22">
      <c r="A22" t="s">
        <v>393</v>
      </c>
      <c r="B22" t="str">
        <f>IFERROR(INDEX('6_Calc_DCS_num_ISIC'!$C$85:$C$126, MATCH($A22, '6_Calc_DCS_num_ISIC'!$A$85:$A$126, 0)), 0)</f>
      </c>
      <c r="C22" t="str">
        <f>IFERROR(INDEX('7_Calc_DCS_den_ISIC'!$C$85:$C$126, MATCH($A22, '7_Calc_DCS_den_ISIC'!$A$85:$A$126, 0)), 0)</f>
      </c>
      <c r="D22" t="str">
        <f>B22/MAX(C22, Keys!$C$4)</f>
      </c>
      <c r="E22" t="str">
        <f>MIN(1, MAX(0, D22))</f>
      </c>
      <c r="F22" t="str">
        <f>IFERROR(INDEX('9b_DCS_overrides'!$B$2:$B$5, MATCH($A22, '9b_DCS_overrides'!$A$2:$A$5, 0)), E22)</f>
      </c>
    </row>
    <row r="23">
      <c r="A23" t="s">
        <v>387</v>
      </c>
      <c r="B23" t="str">
        <f>IFERROR(INDEX('6_Calc_DCS_num_ISIC'!$C$85:$C$126, MATCH($A23, '6_Calc_DCS_num_ISIC'!$A$85:$A$126, 0)), 0)</f>
      </c>
      <c r="C23" t="str">
        <f>IFERROR(INDEX('7_Calc_DCS_den_ISIC'!$C$85:$C$126, MATCH($A23, '7_Calc_DCS_den_ISIC'!$A$85:$A$126, 0)), 0)</f>
      </c>
      <c r="D23" t="str">
        <f>B23/MAX(C23, Keys!$C$4)</f>
      </c>
      <c r="E23" t="str">
        <f>MIN(1, MAX(0, D23))</f>
      </c>
      <c r="F23" t="str">
        <f>IFERROR(INDEX('9b_DCS_overrides'!$B$2:$B$5, MATCH($A23, '9b_DCS_overrides'!$A$2:$A$5, 0)), E23)</f>
      </c>
    </row>
    <row r="24">
      <c r="A24" t="s">
        <v>396</v>
      </c>
      <c r="B24" t="str">
        <f>IFERROR(INDEX('6_Calc_DCS_num_ISIC'!$C$85:$C$126, MATCH($A24, '6_Calc_DCS_num_ISIC'!$A$85:$A$126, 0)), 0)</f>
      </c>
      <c r="C24" t="str">
        <f>IFERROR(INDEX('7_Calc_DCS_den_ISIC'!$C$85:$C$126, MATCH($A24, '7_Calc_DCS_den_ISIC'!$A$85:$A$126, 0)), 0)</f>
      </c>
      <c r="D24" t="str">
        <f>B24/MAX(C24, Keys!$C$4)</f>
      </c>
      <c r="E24" t="str">
        <f>MIN(1, MAX(0, D24))</f>
      </c>
      <c r="F24" t="str">
        <f>IFERROR(INDEX('9b_DCS_overrides'!$B$2:$B$5, MATCH($A24, '9b_DCS_overrides'!$A$2:$A$5, 0)), E24)</f>
      </c>
    </row>
    <row r="25">
      <c r="A25" t="s">
        <v>399</v>
      </c>
      <c r="B25" t="str">
        <f>IFERROR(INDEX('6_Calc_DCS_num_ISIC'!$C$85:$C$126, MATCH($A25, '6_Calc_DCS_num_ISIC'!$A$85:$A$126, 0)), 0)</f>
      </c>
      <c r="C25" t="str">
        <f>IFERROR(INDEX('7_Calc_DCS_den_ISIC'!$C$85:$C$126, MATCH($A25, '7_Calc_DCS_den_ISIC'!$A$85:$A$126, 0)), 0)</f>
      </c>
      <c r="D25" t="str">
        <f>B25/MAX(C25, Keys!$C$4)</f>
      </c>
      <c r="E25" t="str">
        <f>MIN(1, MAX(0, D25))</f>
      </c>
      <c r="F25" t="str">
        <f>IFERROR(INDEX('9b_DCS_overrides'!$B$2:$B$5, MATCH($A25, '9b_DCS_overrides'!$A$2:$A$5, 0)), E25)</f>
      </c>
    </row>
    <row r="26">
      <c r="A26" t="s">
        <v>402</v>
      </c>
      <c r="B26" t="str">
        <f>IFERROR(INDEX('6_Calc_DCS_num_ISIC'!$C$85:$C$126, MATCH($A26, '6_Calc_DCS_num_ISIC'!$A$85:$A$126, 0)), 0)</f>
      </c>
      <c r="C26" t="str">
        <f>IFERROR(INDEX('7_Calc_DCS_den_ISIC'!$C$85:$C$126, MATCH($A26, '7_Calc_DCS_den_ISIC'!$A$85:$A$126, 0)), 0)</f>
      </c>
      <c r="D26" t="str">
        <f>B26/MAX(C26, Keys!$C$4)</f>
      </c>
      <c r="E26" t="str">
        <f>MIN(1, MAX(0, D26))</f>
      </c>
      <c r="F26" t="str">
        <f>IFERROR(INDEX('9b_DCS_overrides'!$B$2:$B$5, MATCH($A26, '9b_DCS_overrides'!$A$2:$A$5, 0)), E26)</f>
      </c>
    </row>
    <row r="27">
      <c r="A27" t="s">
        <v>350</v>
      </c>
      <c r="B27" t="str">
        <f>IFERROR(INDEX('6_Calc_DCS_num_ISIC'!$C$85:$C$126, MATCH($A27, '6_Calc_DCS_num_ISIC'!$A$85:$A$126, 0)), 0)</f>
      </c>
      <c r="C27" t="str">
        <f>IFERROR(INDEX('7_Calc_DCS_den_ISIC'!$C$85:$C$126, MATCH($A27, '7_Calc_DCS_den_ISIC'!$A$85:$A$126, 0)), 0)</f>
      </c>
      <c r="D27" t="str">
        <f>B27/MAX(C27, Keys!$C$4)</f>
      </c>
      <c r="E27" t="str">
        <f>MIN(1, MAX(0, D27))</f>
      </c>
      <c r="F27" t="str">
        <f>IFERROR(INDEX('9b_DCS_overrides'!$B$2:$B$5, MATCH($A27, '9b_DCS_overrides'!$A$2:$A$5, 0)), E27)</f>
      </c>
    </row>
    <row r="28">
      <c r="A28" t="s">
        <v>353</v>
      </c>
      <c r="B28" t="str">
        <f>IFERROR(INDEX('6_Calc_DCS_num_ISIC'!$C$85:$C$126, MATCH($A28, '6_Calc_DCS_num_ISIC'!$A$85:$A$126, 0)), 0)</f>
      </c>
      <c r="C28" t="str">
        <f>IFERROR(INDEX('7_Calc_DCS_den_ISIC'!$C$85:$C$126, MATCH($A28, '7_Calc_DCS_den_ISIC'!$A$85:$A$126, 0)), 0)</f>
      </c>
      <c r="D28" t="str">
        <f>B28/MAX(C28, Keys!$C$4)</f>
      </c>
      <c r="E28" t="str">
        <f>MIN(1, MAX(0, D28))</f>
      </c>
      <c r="F28" t="str">
        <f>IFERROR(INDEX('9b_DCS_overrides'!$B$2:$B$5, MATCH($A28, '9b_DCS_overrides'!$A$2:$A$5, 0)), E28)</f>
      </c>
    </row>
    <row r="29">
      <c r="A29" t="s">
        <v>356</v>
      </c>
      <c r="B29" t="str">
        <f>IFERROR(INDEX('6_Calc_DCS_num_ISIC'!$C$85:$C$126, MATCH($A29, '6_Calc_DCS_num_ISIC'!$A$85:$A$126, 0)), 0)</f>
      </c>
      <c r="C29" t="str">
        <f>IFERROR(INDEX('7_Calc_DCS_den_ISIC'!$C$85:$C$126, MATCH($A29, '7_Calc_DCS_den_ISIC'!$A$85:$A$126, 0)), 0)</f>
      </c>
      <c r="D29" t="str">
        <f>B29/MAX(C29, Keys!$C$4)</f>
      </c>
      <c r="E29" t="str">
        <f>MIN(1, MAX(0, D29))</f>
      </c>
      <c r="F29" t="str">
        <f>IFERROR(INDEX('9b_DCS_overrides'!$B$2:$B$5, MATCH($A29, '9b_DCS_overrides'!$A$2:$A$5, 0)), E29)</f>
      </c>
    </row>
    <row r="30">
      <c r="A30" t="s">
        <v>360</v>
      </c>
      <c r="B30" t="str">
        <f>IFERROR(INDEX('6_Calc_DCS_num_ISIC'!$C$85:$C$126, MATCH($A30, '6_Calc_DCS_num_ISIC'!$A$85:$A$126, 0)), 0)</f>
      </c>
      <c r="C30" t="str">
        <f>IFERROR(INDEX('7_Calc_DCS_den_ISIC'!$C$85:$C$126, MATCH($A30, '7_Calc_DCS_den_ISIC'!$A$85:$A$126, 0)), 0)</f>
      </c>
      <c r="D30" t="str">
        <f>B30/MAX(C30, Keys!$C$4)</f>
      </c>
      <c r="E30" t="str">
        <f>MIN(1, MAX(0, D30))</f>
      </c>
      <c r="F30" t="str">
        <f>IFERROR(INDEX('9b_DCS_overrides'!$B$2:$B$5, MATCH($A30, '9b_DCS_overrides'!$A$2:$A$5, 0)), E30)</f>
      </c>
    </row>
    <row r="31">
      <c r="A31" t="s">
        <v>406</v>
      </c>
      <c r="B31" t="str">
        <f>IFERROR(INDEX('6_Calc_DCS_num_ISIC'!$C$85:$C$126, MATCH($A31, '6_Calc_DCS_num_ISIC'!$A$85:$A$126, 0)), 0)</f>
      </c>
      <c r="C31" t="str">
        <f>IFERROR(INDEX('7_Calc_DCS_den_ISIC'!$C$85:$C$126, MATCH($A31, '7_Calc_DCS_den_ISIC'!$A$85:$A$126, 0)), 0)</f>
      </c>
      <c r="D31" t="str">
        <f>B31/MAX(C31, Keys!$C$4)</f>
      </c>
      <c r="E31" t="str">
        <f>MIN(1, MAX(0, D31))</f>
      </c>
      <c r="F31" t="str">
        <f>IFERROR(INDEX('9b_DCS_overrides'!$B$2:$B$5, MATCH($A31, '9b_DCS_overrides'!$A$2:$A$5, 0)), E31)</f>
      </c>
    </row>
    <row r="32">
      <c r="A32" t="s">
        <v>413</v>
      </c>
      <c r="B32" t="str">
        <f>IFERROR(INDEX('6_Calc_DCS_num_ISIC'!$C$85:$C$126, MATCH($A32, '6_Calc_DCS_num_ISIC'!$A$85:$A$126, 0)), 0)</f>
      </c>
      <c r="C32" t="str">
        <f>IFERROR(INDEX('7_Calc_DCS_den_ISIC'!$C$85:$C$126, MATCH($A32, '7_Calc_DCS_den_ISIC'!$A$85:$A$126, 0)), 0)</f>
      </c>
      <c r="D32" t="str">
        <f>B32/MAX(C32, Keys!$C$4)</f>
      </c>
      <c r="E32" t="str">
        <f>MIN(1, MAX(0, D32))</f>
      </c>
      <c r="F32" t="str">
        <f>IFERROR(INDEX('9b_DCS_overrides'!$B$2:$B$5, MATCH($A32, '9b_DCS_overrides'!$A$2:$A$5, 0)), E32)</f>
      </c>
    </row>
    <row r="33">
      <c r="A33" t="s">
        <v>470</v>
      </c>
      <c r="B33" t="str">
        <f>IFERROR(INDEX('6_Calc_DCS_num_ISIC'!$C$85:$C$126, MATCH($A33, '6_Calc_DCS_num_ISIC'!$A$85:$A$126, 0)), 0)</f>
      </c>
      <c r="C33" t="str">
        <f>IFERROR(INDEX('7_Calc_DCS_den_ISIC'!$C$85:$C$126, MATCH($A33, '7_Calc_DCS_den_ISIC'!$A$85:$A$126, 0)), 0)</f>
      </c>
      <c r="D33" t="str">
        <f>B33/MAX(C33, Keys!$C$4)</f>
      </c>
      <c r="E33" t="str">
        <f>MIN(1, MAX(0, D33))</f>
      </c>
      <c r="F33" t="str">
        <f>IFERROR(INDEX('9b_DCS_overrides'!$B$2:$B$5, MATCH($A33, '9b_DCS_overrides'!$A$2:$A$5, 0)), E33)</f>
      </c>
    </row>
    <row r="34">
      <c r="A34" t="s">
        <v>425</v>
      </c>
      <c r="B34" t="str">
        <f>IFERROR(INDEX('6_Calc_DCS_num_ISIC'!$C$85:$C$126, MATCH($A34, '6_Calc_DCS_num_ISIC'!$A$85:$A$126, 0)), 0)</f>
      </c>
      <c r="C34" t="str">
        <f>IFERROR(INDEX('7_Calc_DCS_den_ISIC'!$C$85:$C$126, MATCH($A34, '7_Calc_DCS_den_ISIC'!$A$85:$A$126, 0)), 0)</f>
      </c>
      <c r="D34" t="str">
        <f>B34/MAX(C34, Keys!$C$4)</f>
      </c>
      <c r="E34" t="str">
        <f>MIN(1, MAX(0, D34))</f>
      </c>
      <c r="F34" t="str">
        <f>IFERROR(INDEX('9b_DCS_overrides'!$B$2:$B$5, MATCH($A34, '9b_DCS_overrides'!$A$2:$A$5, 0)), E34)</f>
      </c>
    </row>
    <row r="35">
      <c r="A35" t="s">
        <v>177</v>
      </c>
      <c r="B35" t="str">
        <f>IFERROR(INDEX('6_Calc_DCS_num_ISIC'!$C$85:$C$126, MATCH($A35, '6_Calc_DCS_num_ISIC'!$A$85:$A$126, 0)), 0)</f>
      </c>
      <c r="C35" t="str">
        <f>IFERROR(INDEX('7_Calc_DCS_den_ISIC'!$C$85:$C$126, MATCH($A35, '7_Calc_DCS_den_ISIC'!$A$85:$A$126, 0)), 0)</f>
      </c>
      <c r="D35" t="str">
        <f>B35/MAX(C35, Keys!$C$4)</f>
      </c>
      <c r="E35" t="str">
        <f>MIN(1, MAX(0, D35))</f>
      </c>
      <c r="F35" t="str">
        <f>IFERROR(INDEX('9b_DCS_overrides'!$B$2:$B$5, MATCH($A35, '9b_DCS_overrides'!$A$2:$A$5, 0)), E35)</f>
      </c>
    </row>
    <row r="36">
      <c r="A36" t="s">
        <v>432</v>
      </c>
      <c r="B36" t="str">
        <f>IFERROR(INDEX('6_Calc_DCS_num_ISIC'!$C$85:$C$126, MATCH($A36, '6_Calc_DCS_num_ISIC'!$A$85:$A$126, 0)), 0)</f>
      </c>
      <c r="C36" t="str">
        <f>IFERROR(INDEX('7_Calc_DCS_den_ISIC'!$C$85:$C$126, MATCH($A36, '7_Calc_DCS_den_ISIC'!$A$85:$A$126, 0)), 0)</f>
      </c>
      <c r="D36" t="str">
        <f>B36/MAX(C36, Keys!$C$4)</f>
      </c>
      <c r="E36" t="str">
        <f>MIN(1, MAX(0, D36))</f>
      </c>
      <c r="F36" t="str">
        <f>IFERROR(INDEX('9b_DCS_overrides'!$B$2:$B$5, MATCH($A36, '9b_DCS_overrides'!$A$2:$A$5, 0)), E36)</f>
      </c>
    </row>
    <row r="37">
      <c r="A37" t="s">
        <v>435</v>
      </c>
      <c r="B37" t="str">
        <f>IFERROR(INDEX('6_Calc_DCS_num_ISIC'!$C$85:$C$126, MATCH($A37, '6_Calc_DCS_num_ISIC'!$A$85:$A$126, 0)), 0)</f>
      </c>
      <c r="C37" t="str">
        <f>IFERROR(INDEX('7_Calc_DCS_den_ISIC'!$C$85:$C$126, MATCH($A37, '7_Calc_DCS_den_ISIC'!$A$85:$A$126, 0)), 0)</f>
      </c>
      <c r="D37" t="str">
        <f>B37/MAX(C37, Keys!$C$4)</f>
      </c>
      <c r="E37" t="str">
        <f>MIN(1, MAX(0, D37))</f>
      </c>
      <c r="F37" t="str">
        <f>IFERROR(INDEX('9b_DCS_overrides'!$B$2:$B$5, MATCH($A37, '9b_DCS_overrides'!$A$2:$A$5, 0)), E37)</f>
      </c>
    </row>
    <row r="38">
      <c r="A38" t="s">
        <v>441</v>
      </c>
      <c r="B38" t="str">
        <f>IFERROR(INDEX('6_Calc_DCS_num_ISIC'!$C$85:$C$126, MATCH($A38, '6_Calc_DCS_num_ISIC'!$A$85:$A$126, 0)), 0)</f>
      </c>
      <c r="C38" t="str">
        <f>IFERROR(INDEX('7_Calc_DCS_den_ISIC'!$C$85:$C$126, MATCH($A38, '7_Calc_DCS_den_ISIC'!$A$85:$A$126, 0)), 0)</f>
      </c>
      <c r="D38" t="str">
        <f>B38/MAX(C38, Keys!$C$4)</f>
      </c>
      <c r="E38" t="str">
        <f>MIN(1, MAX(0, D38))</f>
      </c>
      <c r="F38" t="str">
        <f>IFERROR(INDEX('9b_DCS_overrides'!$B$2:$B$5, MATCH($A38, '9b_DCS_overrides'!$A$2:$A$5, 0)), E38)</f>
      </c>
    </row>
    <row r="39">
      <c r="A39" t="s">
        <v>445</v>
      </c>
      <c r="B39" t="str">
        <f>IFERROR(INDEX('6_Calc_DCS_num_ISIC'!$C$85:$C$126, MATCH($A39, '6_Calc_DCS_num_ISIC'!$A$85:$A$126, 0)), 0)</f>
      </c>
      <c r="C39" t="str">
        <f>IFERROR(INDEX('7_Calc_DCS_den_ISIC'!$C$85:$C$126, MATCH($A39, '7_Calc_DCS_den_ISIC'!$A$85:$A$126, 0)), 0)</f>
      </c>
      <c r="D39" t="str">
        <f>B39/MAX(C39, Keys!$C$4)</f>
      </c>
      <c r="E39" t="str">
        <f>MIN(1, MAX(0, D39))</f>
      </c>
      <c r="F39" t="str">
        <f>IFERROR(INDEX('9b_DCS_overrides'!$B$2:$B$5, MATCH($A39, '9b_DCS_overrides'!$A$2:$A$5, 0)), E39)</f>
      </c>
    </row>
    <row r="40">
      <c r="A40" t="s">
        <v>475</v>
      </c>
      <c r="B40" t="str">
        <f>IFERROR(INDEX('6_Calc_DCS_num_ISIC'!$C$85:$C$126, MATCH($A40, '6_Calc_DCS_num_ISIC'!$A$85:$A$126, 0)), 0)</f>
      </c>
      <c r="C40" t="str">
        <f>IFERROR(INDEX('7_Calc_DCS_den_ISIC'!$C$85:$C$126, MATCH($A40, '7_Calc_DCS_den_ISIC'!$A$85:$A$126, 0)), 0)</f>
      </c>
      <c r="D40" t="str">
        <f>B40/MAX(C40, Keys!$C$4)</f>
      </c>
      <c r="E40" t="str">
        <f>MIN(1, MAX(0, D40))</f>
      </c>
      <c r="F40" t="str">
        <f>IFERROR(INDEX('9b_DCS_overrides'!$B$2:$B$5, MATCH($A40, '9b_DCS_overrides'!$A$2:$A$5, 0)), E40)</f>
      </c>
    </row>
    <row r="41">
      <c r="A41" t="s">
        <v>457</v>
      </c>
      <c r="B41" t="str">
        <f>IFERROR(INDEX('6_Calc_DCS_num_ISIC'!$C$85:$C$126, MATCH($A41, '6_Calc_DCS_num_ISIC'!$A$85:$A$126, 0)), 0)</f>
      </c>
      <c r="C41" t="str">
        <f>IFERROR(INDEX('7_Calc_DCS_den_ISIC'!$C$85:$C$126, MATCH($A41, '7_Calc_DCS_den_ISIC'!$A$85:$A$126, 0)), 0)</f>
      </c>
      <c r="D41" t="str">
        <f>B41/MAX(C41, Keys!$C$4)</f>
      </c>
      <c r="E41" t="str">
        <f>MIN(1, MAX(0, D41))</f>
      </c>
      <c r="F41" t="str">
        <f>IFERROR(INDEX('9b_DCS_overrides'!$B$2:$B$5, MATCH($A41, '9b_DCS_overrides'!$A$2:$A$5, 0)), E41)</f>
      </c>
    </row>
    <row r="42">
      <c r="A42" t="s">
        <v>460</v>
      </c>
      <c r="B42" t="str">
        <f>IFERROR(INDEX('6_Calc_DCS_num_ISIC'!$C$85:$C$126, MATCH($A42, '6_Calc_DCS_num_ISIC'!$A$85:$A$126, 0)), 0)</f>
      </c>
      <c r="C42" t="str">
        <f>IFERROR(INDEX('7_Calc_DCS_den_ISIC'!$C$85:$C$126, MATCH($A42, '7_Calc_DCS_den_ISIC'!$A$85:$A$126, 0)), 0)</f>
      </c>
      <c r="D42" t="str">
        <f>B42/MAX(C42, Keys!$C$4)</f>
      </c>
      <c r="E42" t="str">
        <f>MIN(1, MAX(0, D42))</f>
      </c>
      <c r="F42" t="str">
        <f>IFERROR(INDEX('9b_DCS_overrides'!$B$2:$B$5, MATCH($A42, '9b_DCS_overrides'!$A$2:$A$5, 0)), E42)</f>
      </c>
    </row>
    <row r="43">
      <c r="A43" t="s">
        <v>466</v>
      </c>
      <c r="B43" t="str">
        <f>IFERROR(INDEX('6_Calc_DCS_num_ISIC'!$C$85:$C$126, MATCH($A43, '6_Calc_DCS_num_ISIC'!$A$85:$A$126, 0)), 0)</f>
      </c>
      <c r="C43" t="str">
        <f>IFERROR(INDEX('7_Calc_DCS_den_ISIC'!$C$85:$C$126, MATCH($A43, '7_Calc_DCS_den_ISIC'!$A$85:$A$126, 0)), 0)</f>
      </c>
      <c r="D43" t="str">
        <f>B43/MAX(C43, Keys!$C$4)</f>
      </c>
      <c r="E43" t="str">
        <f>MIN(1, MAX(0, D43))</f>
      </c>
      <c r="F43" t="str">
        <f>IFERROR(INDEX('9b_DCS_overrides'!$B$2:$B$5, MATCH($A43, '9b_DCS_overrides'!$A$2:$A$5, 0)), E43)</f>
      </c>
    </row>
    <row r="44">
      <c r="A44" t="s">
        <v>583</v>
      </c>
      <c r="B44" t="str">
        <f>IFERROR(INDEX('6_Calc_DCS_num_ISIC'!$C$85:$C$126, MATCH($A44, '6_Calc_DCS_num_ISIC'!$A$85:$A$126, 0)), 0)</f>
      </c>
      <c r="C44" t="str">
        <f>IFERROR(INDEX('7_Calc_DCS_den_ISIC'!$C$85:$C$126, MATCH($A44, '7_Calc_DCS_den_ISIC'!$A$85:$A$126, 0)), 0)</f>
      </c>
      <c r="D44" t="str">
        <f>B44/MAX(C44, Keys!$C$4)</f>
      </c>
      <c r="E44" t="str">
        <f>MIN(1, MAX(0, D44))</f>
      </c>
      <c r="F44" t="str">
        <f>IFERROR(INDEX('9b_DCS_overrides'!$B$2:$B$5, MATCH($A44, '9b_DCS_overrides'!$A$2:$A$5,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609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IFERROR(INDEX('8_Calc_Exp_ISIC'!$C$85:$C$126, MATCH($A3, '8_Calc_Exp_ISIC'!$A$85:$A$126, 0)), 0)</f>
      </c>
      <c r="C3" t="str">
        <f>IFERROR(INDEX('9_Output_by_ISIC'!$B$2:$B$43, MATCH($A3, '9_Output_by_ISIC'!$A$2:$A$43, 0)), 0)</f>
      </c>
      <c r="D3" t="str">
        <f>B3/MAX(C3, Keys!$C$4)</f>
      </c>
      <c r="E3" t="str">
        <f>MIN(1, MAX(0, D3))</f>
      </c>
      <c r="F3" t="str">
        <f>IFERROR(INDEX('9c_ESoP_overrides'!$B$2:$B$3, MATCH($A3, '9c_ESoP_overrides'!$A$2:$A$3, 0)), E3)</f>
      </c>
    </row>
    <row r="4">
      <c r="A4" t="s">
        <v>482</v>
      </c>
      <c r="B4" t="str">
        <f>IFERROR(INDEX('8_Calc_Exp_ISIC'!$C$85:$C$126, MATCH($A4, '8_Calc_Exp_ISIC'!$A$85:$A$126, 0)), 0)</f>
      </c>
      <c r="C4" t="str">
        <f>IFERROR(INDEX('9_Output_by_ISIC'!$B$2:$B$43, MATCH($A4, '9_Output_by_ISIC'!$A$2:$A$43, 0)), 0)</f>
      </c>
      <c r="D4" t="str">
        <f>B4/MAX(C4, Keys!$C$4)</f>
      </c>
      <c r="E4" t="str">
        <f>MIN(1, MAX(0, D4))</f>
      </c>
      <c r="F4" t="str">
        <f>IFERROR(INDEX('9c_ESoP_overrides'!$B$2:$B$3, MATCH($A4, '9c_ESoP_overrides'!$A$2:$A$3, 0)), E4)</f>
      </c>
    </row>
    <row r="5">
      <c r="A5" t="s">
        <v>344</v>
      </c>
      <c r="B5" t="str">
        <f>IFERROR(INDEX('8_Calc_Exp_ISIC'!$C$85:$C$126, MATCH($A5, '8_Calc_Exp_ISIC'!$A$85:$A$126, 0)), 0)</f>
      </c>
      <c r="C5" t="str">
        <f>IFERROR(INDEX('9_Output_by_ISIC'!$B$2:$B$43, MATCH($A5, '9_Output_by_ISIC'!$A$2:$A$43, 0)), 0)</f>
      </c>
      <c r="D5" t="str">
        <f>B5/MAX(C5, Keys!$C$4)</f>
      </c>
      <c r="E5" t="str">
        <f>MIN(1, MAX(0, D5))</f>
      </c>
      <c r="F5" t="str">
        <f>IFERROR(INDEX('9c_ESoP_overrides'!$B$2:$B$3, MATCH($A5, '9c_ESoP_overrides'!$A$2:$A$3, 0)), E5)</f>
      </c>
    </row>
    <row r="6">
      <c r="A6" t="s">
        <v>485</v>
      </c>
      <c r="B6" t="str">
        <f>IFERROR(INDEX('8_Calc_Exp_ISIC'!$C$85:$C$126, MATCH($A6, '8_Calc_Exp_ISIC'!$A$85:$A$126, 0)), 0)</f>
      </c>
      <c r="C6" t="str">
        <f>IFERROR(INDEX('9_Output_by_ISIC'!$B$2:$B$43, MATCH($A6, '9_Output_by_ISIC'!$A$2:$A$43, 0)), 0)</f>
      </c>
      <c r="D6" t="str">
        <f>B6/MAX(C6, Keys!$C$4)</f>
      </c>
      <c r="E6" t="str">
        <f>MIN(1, MAX(0, D6))</f>
      </c>
      <c r="F6" t="str">
        <f>IFERROR(INDEX('9c_ESoP_overrides'!$B$2:$B$3, MATCH($A6, '9c_ESoP_overrides'!$A$2:$A$3, 0)), E6)</f>
      </c>
    </row>
    <row r="7">
      <c r="A7" t="s">
        <v>347</v>
      </c>
      <c r="B7" t="str">
        <f>IFERROR(INDEX('8_Calc_Exp_ISIC'!$C$85:$C$126, MATCH($A7, '8_Calc_Exp_ISIC'!$A$85:$A$126, 0)), 0)</f>
      </c>
      <c r="C7" t="str">
        <f>IFERROR(INDEX('9_Output_by_ISIC'!$B$2:$B$43, MATCH($A7, '9_Output_by_ISIC'!$A$2:$A$43, 0)), 0)</f>
      </c>
      <c r="D7" t="str">
        <f>B7/MAX(C7, Keys!$C$4)</f>
      </c>
      <c r="E7" t="str">
        <f>MIN(1, MAX(0, D7))</f>
      </c>
      <c r="F7" t="str">
        <f>IFERROR(INDEX('9c_ESoP_overrides'!$B$2:$B$3, MATCH($A7, '9c_ESoP_overrides'!$A$2:$A$3, 0)), E7)</f>
      </c>
    </row>
    <row r="8">
      <c r="A8" t="s">
        <v>362</v>
      </c>
      <c r="B8" t="str">
        <f>IFERROR(INDEX('8_Calc_Exp_ISIC'!$C$85:$C$126, MATCH($A8, '8_Calc_Exp_ISIC'!$A$85:$A$126, 0)), 0)</f>
      </c>
      <c r="C8" t="str">
        <f>IFERROR(INDEX('9_Output_by_ISIC'!$B$2:$B$43, MATCH($A8, '9_Output_by_ISIC'!$A$2:$A$43, 0)), 0)</f>
      </c>
      <c r="D8" t="str">
        <f>B8/MAX(C8, Keys!$C$4)</f>
      </c>
      <c r="E8" t="str">
        <f>MIN(1, MAX(0, D8))</f>
      </c>
      <c r="F8" t="str">
        <f>IFERROR(INDEX('9c_ESoP_overrides'!$B$2:$B$3, MATCH($A8, '9c_ESoP_overrides'!$A$2:$A$3, 0)), E8)</f>
      </c>
    </row>
    <row r="9">
      <c r="A9" t="s">
        <v>365</v>
      </c>
      <c r="B9" t="str">
        <f>IFERROR(INDEX('8_Calc_Exp_ISIC'!$C$85:$C$126, MATCH($A9, '8_Calc_Exp_ISIC'!$A$85:$A$126, 0)), 0)</f>
      </c>
      <c r="C9" t="str">
        <f>IFERROR(INDEX('9_Output_by_ISIC'!$B$2:$B$43, MATCH($A9, '9_Output_by_ISIC'!$A$2:$A$43, 0)), 0)</f>
      </c>
      <c r="D9" t="str">
        <f>B9/MAX(C9, Keys!$C$4)</f>
      </c>
      <c r="E9" t="str">
        <f>MIN(1, MAX(0, D9))</f>
      </c>
      <c r="F9" t="str">
        <f>IFERROR(INDEX('9c_ESoP_overrides'!$B$2:$B$3, MATCH($A9, '9c_ESoP_overrides'!$A$2:$A$3, 0)), E9)</f>
      </c>
    </row>
    <row r="10">
      <c r="A10" t="s">
        <v>369</v>
      </c>
      <c r="B10" t="str">
        <f>IFERROR(INDEX('8_Calc_Exp_ISIC'!$C$85:$C$126, MATCH($A10, '8_Calc_Exp_ISIC'!$A$85:$A$126, 0)), 0)</f>
      </c>
      <c r="C10" t="str">
        <f>IFERROR(INDEX('9_Output_by_ISIC'!$B$2:$B$43, MATCH($A10, '9_Output_by_ISIC'!$A$2:$A$43, 0)), 0)</f>
      </c>
      <c r="D10" t="str">
        <f>B10/MAX(C10, Keys!$C$4)</f>
      </c>
      <c r="E10" t="str">
        <f>MIN(1, MAX(0, D10))</f>
      </c>
      <c r="F10" t="str">
        <f>IFERROR(INDEX('9c_ESoP_overrides'!$B$2:$B$3, MATCH($A10, '9c_ESoP_overrides'!$A$2:$A$3, 0)), E10)</f>
      </c>
    </row>
    <row r="11">
      <c r="A11" t="s">
        <v>372</v>
      </c>
      <c r="B11" t="str">
        <f>IFERROR(INDEX('8_Calc_Exp_ISIC'!$C$85:$C$126, MATCH($A11, '8_Calc_Exp_ISIC'!$A$85:$A$126, 0)), 0)</f>
      </c>
      <c r="C11" t="str">
        <f>IFERROR(INDEX('9_Output_by_ISIC'!$B$2:$B$43, MATCH($A11, '9_Output_by_ISIC'!$A$2:$A$43, 0)), 0)</f>
      </c>
      <c r="D11" t="str">
        <f>B11/MAX(C11, Keys!$C$4)</f>
      </c>
      <c r="E11" t="str">
        <f>MIN(1, MAX(0, D11))</f>
      </c>
      <c r="F11" t="str">
        <f>IFERROR(INDEX('9c_ESoP_overrides'!$B$2:$B$3, MATCH($A11, '9c_ESoP_overrides'!$A$2:$A$3, 0)), E11)</f>
      </c>
    </row>
    <row r="12">
      <c r="A12" t="s">
        <v>376</v>
      </c>
      <c r="B12" t="str">
        <f>IFERROR(INDEX('8_Calc_Exp_ISIC'!$C$85:$C$126, MATCH($A12, '8_Calc_Exp_ISIC'!$A$85:$A$126, 0)), 0)</f>
      </c>
      <c r="C12" t="str">
        <f>IFERROR(INDEX('9_Output_by_ISIC'!$B$2:$B$43, MATCH($A12, '9_Output_by_ISIC'!$A$2:$A$43, 0)), 0)</f>
      </c>
      <c r="D12" t="str">
        <f>B12/MAX(C12, Keys!$C$4)</f>
      </c>
      <c r="E12" t="str">
        <f>MIN(1, MAX(0, D12))</f>
      </c>
      <c r="F12" t="str">
        <f>IFERROR(INDEX('9c_ESoP_overrides'!$B$2:$B$3, MATCH($A12, '9c_ESoP_overrides'!$A$2:$A$3, 0)), E12)</f>
      </c>
    </row>
    <row r="13">
      <c r="A13" t="s">
        <v>498</v>
      </c>
      <c r="B13" t="str">
        <f>IFERROR(INDEX('8_Calc_Exp_ISIC'!$C$85:$C$126, MATCH($A13, '8_Calc_Exp_ISIC'!$A$85:$A$126, 0)), 0)</f>
      </c>
      <c r="C13" t="str">
        <f>IFERROR(INDEX('9_Output_by_ISIC'!$B$2:$B$43, MATCH($A13, '9_Output_by_ISIC'!$A$2:$A$43, 0)), 0)</f>
      </c>
      <c r="D13" t="str">
        <f>B13/MAX(C13, Keys!$C$4)</f>
      </c>
      <c r="E13" t="str">
        <f>MIN(1, MAX(0, D13))</f>
      </c>
      <c r="F13" t="str">
        <f>IFERROR(INDEX('9c_ESoP_overrides'!$B$2:$B$3, MATCH($A13, '9c_ESoP_overrides'!$A$2:$A$3, 0)), E13)</f>
      </c>
    </row>
    <row r="14">
      <c r="A14" t="s">
        <v>501</v>
      </c>
      <c r="B14" t="str">
        <f>IFERROR(INDEX('8_Calc_Exp_ISIC'!$C$85:$C$126, MATCH($A14, '8_Calc_Exp_ISIC'!$A$85:$A$126, 0)), 0)</f>
      </c>
      <c r="C14" t="str">
        <f>IFERROR(INDEX('9_Output_by_ISIC'!$B$2:$B$43, MATCH($A14, '9_Output_by_ISIC'!$A$2:$A$43, 0)), 0)</f>
      </c>
      <c r="D14" t="str">
        <f>B14/MAX(C14, Keys!$C$4)</f>
      </c>
      <c r="E14" t="str">
        <f>MIN(1, MAX(0, D14))</f>
      </c>
      <c r="F14" t="str">
        <f>IFERROR(INDEX('9c_ESoP_overrides'!$B$2:$B$3, MATCH($A14, '9c_ESoP_overrides'!$A$2:$A$3, 0)), E14)</f>
      </c>
    </row>
    <row r="15">
      <c r="A15" t="s">
        <v>126</v>
      </c>
      <c r="B15" t="str">
        <f>IFERROR(INDEX('8_Calc_Exp_ISIC'!$C$85:$C$126, MATCH($A15, '8_Calc_Exp_ISIC'!$A$85:$A$126, 0)), 0)</f>
      </c>
      <c r="C15" t="str">
        <f>IFERROR(INDEX('9_Output_by_ISIC'!$B$2:$B$43, MATCH($A15, '9_Output_by_ISIC'!$A$2:$A$43, 0)), 0)</f>
      </c>
      <c r="D15" t="str">
        <f>B15/MAX(C15, Keys!$C$4)</f>
      </c>
      <c r="E15" t="str">
        <f>MIN(1, MAX(0, D15))</f>
      </c>
      <c r="F15" t="str">
        <f>IFERROR(INDEX('9c_ESoP_overrides'!$B$2:$B$3, MATCH($A15, '9c_ESoP_overrides'!$A$2:$A$3, 0)), E15)</f>
      </c>
    </row>
    <row r="16">
      <c r="A16" t="s">
        <v>488</v>
      </c>
      <c r="B16" t="str">
        <f>IFERROR(INDEX('8_Calc_Exp_ISIC'!$C$85:$C$126, MATCH($A16, '8_Calc_Exp_ISIC'!$A$85:$A$126, 0)), 0)</f>
      </c>
      <c r="C16" t="str">
        <f>IFERROR(INDEX('9_Output_by_ISIC'!$B$2:$B$43, MATCH($A16, '9_Output_by_ISIC'!$A$2:$A$43, 0)), 0)</f>
      </c>
      <c r="D16" t="str">
        <f>B16/MAX(C16, Keys!$C$4)</f>
      </c>
      <c r="E16" t="str">
        <f>MIN(1, MAX(0, D16))</f>
      </c>
      <c r="F16" t="str">
        <f>IFERROR(INDEX('9c_ESoP_overrides'!$B$2:$B$3, MATCH($A16, '9c_ESoP_overrides'!$A$2:$A$3, 0)), E16)</f>
      </c>
    </row>
    <row r="17">
      <c r="A17" t="s">
        <v>491</v>
      </c>
      <c r="B17" t="str">
        <f>IFERROR(INDEX('8_Calc_Exp_ISIC'!$C$85:$C$126, MATCH($A17, '8_Calc_Exp_ISIC'!$A$85:$A$126, 0)), 0)</f>
      </c>
      <c r="C17" t="str">
        <f>IFERROR(INDEX('9_Output_by_ISIC'!$B$2:$B$43, MATCH($A17, '9_Output_by_ISIC'!$A$2:$A$43, 0)), 0)</f>
      </c>
      <c r="D17" t="str">
        <f>B17/MAX(C17, Keys!$C$4)</f>
      </c>
      <c r="E17" t="str">
        <f>MIN(1, MAX(0, D17))</f>
      </c>
      <c r="F17" t="str">
        <f>IFERROR(INDEX('9c_ESoP_overrides'!$B$2:$B$3, MATCH($A17, '9c_ESoP_overrides'!$A$2:$A$3, 0)), E17)</f>
      </c>
    </row>
    <row r="18">
      <c r="A18" t="s">
        <v>379</v>
      </c>
      <c r="B18" t="str">
        <f>IFERROR(INDEX('8_Calc_Exp_ISIC'!$C$85:$C$126, MATCH($A18, '8_Calc_Exp_ISIC'!$A$85:$A$126, 0)), 0)</f>
      </c>
      <c r="C18" t="str">
        <f>IFERROR(INDEX('9_Output_by_ISIC'!$B$2:$B$43, MATCH($A18, '9_Output_by_ISIC'!$A$2:$A$43, 0)), 0)</f>
      </c>
      <c r="D18" t="str">
        <f>B18/MAX(C18, Keys!$C$4)</f>
      </c>
      <c r="E18" t="str">
        <f>MIN(1, MAX(0, D18))</f>
      </c>
      <c r="F18" t="str">
        <f>IFERROR(INDEX('9c_ESoP_overrides'!$B$2:$B$3, MATCH($A18, '9c_ESoP_overrides'!$A$2:$A$3, 0)), E18)</f>
      </c>
    </row>
    <row r="19">
      <c r="A19" t="s">
        <v>495</v>
      </c>
      <c r="B19" t="str">
        <f>IFERROR(INDEX('8_Calc_Exp_ISIC'!$C$85:$C$126, MATCH($A19, '8_Calc_Exp_ISIC'!$A$85:$A$126, 0)), 0)</f>
      </c>
      <c r="C19" t="str">
        <f>IFERROR(INDEX('9_Output_by_ISIC'!$B$2:$B$43, MATCH($A19, '9_Output_by_ISIC'!$A$2:$A$43, 0)), 0)</f>
      </c>
      <c r="D19" t="str">
        <f>B19/MAX(C19, Keys!$C$4)</f>
      </c>
      <c r="E19" t="str">
        <f>MIN(1, MAX(0, D19))</f>
      </c>
      <c r="F19" t="str">
        <f>IFERROR(INDEX('9c_ESoP_overrides'!$B$2:$B$3, MATCH($A19, '9c_ESoP_overrides'!$A$2:$A$3, 0)), E19)</f>
      </c>
    </row>
    <row r="20">
      <c r="A20" t="s">
        <v>385</v>
      </c>
      <c r="B20" t="str">
        <f>IFERROR(INDEX('8_Calc_Exp_ISIC'!$C$85:$C$126, MATCH($A20, '8_Calc_Exp_ISIC'!$A$85:$A$126, 0)), 0)</f>
      </c>
      <c r="C20" t="str">
        <f>IFERROR(INDEX('9_Output_by_ISIC'!$B$2:$B$43, MATCH($A20, '9_Output_by_ISIC'!$A$2:$A$43, 0)), 0)</f>
      </c>
      <c r="D20" t="str">
        <f>B20/MAX(C20, Keys!$C$4)</f>
      </c>
      <c r="E20" t="str">
        <f>MIN(1, MAX(0, D20))</f>
      </c>
      <c r="F20" t="str">
        <f>IFERROR(INDEX('9c_ESoP_overrides'!$B$2:$B$3, MATCH($A20, '9c_ESoP_overrides'!$A$2:$A$3, 0)), E20)</f>
      </c>
    </row>
    <row r="21">
      <c r="A21" t="s">
        <v>390</v>
      </c>
      <c r="B21" t="str">
        <f>IFERROR(INDEX('8_Calc_Exp_ISIC'!$C$85:$C$126, MATCH($A21, '8_Calc_Exp_ISIC'!$A$85:$A$126, 0)), 0)</f>
      </c>
      <c r="C21" t="str">
        <f>IFERROR(INDEX('9_Output_by_ISIC'!$B$2:$B$43, MATCH($A21, '9_Output_by_ISIC'!$A$2:$A$43, 0)), 0)</f>
      </c>
      <c r="D21" t="str">
        <f>B21/MAX(C21, Keys!$C$4)</f>
      </c>
      <c r="E21" t="str">
        <f>MIN(1, MAX(0, D21))</f>
      </c>
      <c r="F21" t="str">
        <f>IFERROR(INDEX('9c_ESoP_overrides'!$B$2:$B$3, MATCH($A21, '9c_ESoP_overrides'!$A$2:$A$3, 0)), E21)</f>
      </c>
    </row>
    <row r="22">
      <c r="A22" t="s">
        <v>393</v>
      </c>
      <c r="B22" t="str">
        <f>IFERROR(INDEX('8_Calc_Exp_ISIC'!$C$85:$C$126, MATCH($A22, '8_Calc_Exp_ISIC'!$A$85:$A$126, 0)), 0)</f>
      </c>
      <c r="C22" t="str">
        <f>IFERROR(INDEX('9_Output_by_ISIC'!$B$2:$B$43, MATCH($A22, '9_Output_by_ISIC'!$A$2:$A$43, 0)), 0)</f>
      </c>
      <c r="D22" t="str">
        <f>B22/MAX(C22, Keys!$C$4)</f>
      </c>
      <c r="E22" t="str">
        <f>MIN(1, MAX(0, D22))</f>
      </c>
      <c r="F22" t="str">
        <f>IFERROR(INDEX('9c_ESoP_overrides'!$B$2:$B$3, MATCH($A22, '9c_ESoP_overrides'!$A$2:$A$3, 0)), E22)</f>
      </c>
    </row>
    <row r="23">
      <c r="A23" t="s">
        <v>387</v>
      </c>
      <c r="B23" t="str">
        <f>IFERROR(INDEX('8_Calc_Exp_ISIC'!$C$85:$C$126, MATCH($A23, '8_Calc_Exp_ISIC'!$A$85:$A$126, 0)), 0)</f>
      </c>
      <c r="C23" t="str">
        <f>IFERROR(INDEX('9_Output_by_ISIC'!$B$2:$B$43, MATCH($A23, '9_Output_by_ISIC'!$A$2:$A$43, 0)), 0)</f>
      </c>
      <c r="D23" t="str">
        <f>B23/MAX(C23, Keys!$C$4)</f>
      </c>
      <c r="E23" t="str">
        <f>MIN(1, MAX(0, D23))</f>
      </c>
      <c r="F23" t="str">
        <f>IFERROR(INDEX('9c_ESoP_overrides'!$B$2:$B$3, MATCH($A23, '9c_ESoP_overrides'!$A$2:$A$3, 0)), E23)</f>
      </c>
    </row>
    <row r="24">
      <c r="A24" t="s">
        <v>396</v>
      </c>
      <c r="B24" t="str">
        <f>IFERROR(INDEX('8_Calc_Exp_ISIC'!$C$85:$C$126, MATCH($A24, '8_Calc_Exp_ISIC'!$A$85:$A$126, 0)), 0)</f>
      </c>
      <c r="C24" t="str">
        <f>IFERROR(INDEX('9_Output_by_ISIC'!$B$2:$B$43, MATCH($A24, '9_Output_by_ISIC'!$A$2:$A$43, 0)), 0)</f>
      </c>
      <c r="D24" t="str">
        <f>B24/MAX(C24, Keys!$C$4)</f>
      </c>
      <c r="E24" t="str">
        <f>MIN(1, MAX(0, D24))</f>
      </c>
      <c r="F24" t="str">
        <f>IFERROR(INDEX('9c_ESoP_overrides'!$B$2:$B$3, MATCH($A24, '9c_ESoP_overrides'!$A$2:$A$3, 0)), E24)</f>
      </c>
    </row>
    <row r="25">
      <c r="A25" t="s">
        <v>399</v>
      </c>
      <c r="B25" t="str">
        <f>IFERROR(INDEX('8_Calc_Exp_ISIC'!$C$85:$C$126, MATCH($A25, '8_Calc_Exp_ISIC'!$A$85:$A$126, 0)), 0)</f>
      </c>
      <c r="C25" t="str">
        <f>IFERROR(INDEX('9_Output_by_ISIC'!$B$2:$B$43, MATCH($A25, '9_Output_by_ISIC'!$A$2:$A$43, 0)), 0)</f>
      </c>
      <c r="D25" t="str">
        <f>B25/MAX(C25, Keys!$C$4)</f>
      </c>
      <c r="E25" t="str">
        <f>MIN(1, MAX(0, D25))</f>
      </c>
      <c r="F25" t="str">
        <f>IFERROR(INDEX('9c_ESoP_overrides'!$B$2:$B$3, MATCH($A25, '9c_ESoP_overrides'!$A$2:$A$3, 0)), E25)</f>
      </c>
    </row>
    <row r="26">
      <c r="A26" t="s">
        <v>402</v>
      </c>
      <c r="B26" t="str">
        <f>IFERROR(INDEX('8_Calc_Exp_ISIC'!$C$85:$C$126, MATCH($A26, '8_Calc_Exp_ISIC'!$A$85:$A$126, 0)), 0)</f>
      </c>
      <c r="C26" t="str">
        <f>IFERROR(INDEX('9_Output_by_ISIC'!$B$2:$B$43, MATCH($A26, '9_Output_by_ISIC'!$A$2:$A$43, 0)), 0)</f>
      </c>
      <c r="D26" t="str">
        <f>B26/MAX(C26, Keys!$C$4)</f>
      </c>
      <c r="E26" t="str">
        <f>MIN(1, MAX(0, D26))</f>
      </c>
      <c r="F26" t="str">
        <f>IFERROR(INDEX('9c_ESoP_overrides'!$B$2:$B$3, MATCH($A26, '9c_ESoP_overrides'!$A$2:$A$3, 0)), E26)</f>
      </c>
    </row>
    <row r="27">
      <c r="A27" t="s">
        <v>350</v>
      </c>
      <c r="B27" t="str">
        <f>IFERROR(INDEX('8_Calc_Exp_ISIC'!$C$85:$C$126, MATCH($A27, '8_Calc_Exp_ISIC'!$A$85:$A$126, 0)), 0)</f>
      </c>
      <c r="C27" t="str">
        <f>IFERROR(INDEX('9_Output_by_ISIC'!$B$2:$B$43, MATCH($A27, '9_Output_by_ISIC'!$A$2:$A$43, 0)), 0)</f>
      </c>
      <c r="D27" t="str">
        <f>B27/MAX(C27, Keys!$C$4)</f>
      </c>
      <c r="E27" t="str">
        <f>MIN(1, MAX(0, D27))</f>
      </c>
      <c r="F27" t="str">
        <f>IFERROR(INDEX('9c_ESoP_overrides'!$B$2:$B$3, MATCH($A27, '9c_ESoP_overrides'!$A$2:$A$3, 0)), E27)</f>
      </c>
    </row>
    <row r="28">
      <c r="A28" t="s">
        <v>353</v>
      </c>
      <c r="B28" t="str">
        <f>IFERROR(INDEX('8_Calc_Exp_ISIC'!$C$85:$C$126, MATCH($A28, '8_Calc_Exp_ISIC'!$A$85:$A$126, 0)), 0)</f>
      </c>
      <c r="C28" t="str">
        <f>IFERROR(INDEX('9_Output_by_ISIC'!$B$2:$B$43, MATCH($A28, '9_Output_by_ISIC'!$A$2:$A$43, 0)), 0)</f>
      </c>
      <c r="D28" t="str">
        <f>B28/MAX(C28, Keys!$C$4)</f>
      </c>
      <c r="E28" t="str">
        <f>MIN(1, MAX(0, D28))</f>
      </c>
      <c r="F28" t="str">
        <f>IFERROR(INDEX('9c_ESoP_overrides'!$B$2:$B$3, MATCH($A28, '9c_ESoP_overrides'!$A$2:$A$3, 0)), E28)</f>
      </c>
    </row>
    <row r="29">
      <c r="A29" t="s">
        <v>356</v>
      </c>
      <c r="B29" t="str">
        <f>IFERROR(INDEX('8_Calc_Exp_ISIC'!$C$85:$C$126, MATCH($A29, '8_Calc_Exp_ISIC'!$A$85:$A$126, 0)), 0)</f>
      </c>
      <c r="C29" t="str">
        <f>IFERROR(INDEX('9_Output_by_ISIC'!$B$2:$B$43, MATCH($A29, '9_Output_by_ISIC'!$A$2:$A$43, 0)), 0)</f>
      </c>
      <c r="D29" t="str">
        <f>B29/MAX(C29, Keys!$C$4)</f>
      </c>
      <c r="E29" t="str">
        <f>MIN(1, MAX(0, D29))</f>
      </c>
      <c r="F29" t="str">
        <f>IFERROR(INDEX('9c_ESoP_overrides'!$B$2:$B$3, MATCH($A29, '9c_ESoP_overrides'!$A$2:$A$3, 0)), E29)</f>
      </c>
    </row>
    <row r="30">
      <c r="A30" t="s">
        <v>360</v>
      </c>
      <c r="B30" t="str">
        <f>IFERROR(INDEX('8_Calc_Exp_ISIC'!$C$85:$C$126, MATCH($A30, '8_Calc_Exp_ISIC'!$A$85:$A$126, 0)), 0)</f>
      </c>
      <c r="C30" t="str">
        <f>IFERROR(INDEX('9_Output_by_ISIC'!$B$2:$B$43, MATCH($A30, '9_Output_by_ISIC'!$A$2:$A$43, 0)), 0)</f>
      </c>
      <c r="D30" t="str">
        <f>B30/MAX(C30, Keys!$C$4)</f>
      </c>
      <c r="E30" t="str">
        <f>MIN(1, MAX(0, D30))</f>
      </c>
      <c r="F30" t="str">
        <f>IFERROR(INDEX('9c_ESoP_overrides'!$B$2:$B$3, MATCH($A30, '9c_ESoP_overrides'!$A$2:$A$3, 0)), E30)</f>
      </c>
    </row>
    <row r="31">
      <c r="A31" t="s">
        <v>406</v>
      </c>
      <c r="B31" t="str">
        <f>IFERROR(INDEX('8_Calc_Exp_ISIC'!$C$85:$C$126, MATCH($A31, '8_Calc_Exp_ISIC'!$A$85:$A$126, 0)), 0)</f>
      </c>
      <c r="C31" t="str">
        <f>IFERROR(INDEX('9_Output_by_ISIC'!$B$2:$B$43, MATCH($A31, '9_Output_by_ISIC'!$A$2:$A$43, 0)), 0)</f>
      </c>
      <c r="D31" t="str">
        <f>B31/MAX(C31, Keys!$C$4)</f>
      </c>
      <c r="E31" t="str">
        <f>MIN(1, MAX(0, D31))</f>
      </c>
      <c r="F31" t="str">
        <f>IFERROR(INDEX('9c_ESoP_overrides'!$B$2:$B$3, MATCH($A31, '9c_ESoP_overrides'!$A$2:$A$3, 0)), E31)</f>
      </c>
    </row>
    <row r="32">
      <c r="A32" t="s">
        <v>413</v>
      </c>
      <c r="B32" t="str">
        <f>IFERROR(INDEX('8_Calc_Exp_ISIC'!$C$85:$C$126, MATCH($A32, '8_Calc_Exp_ISIC'!$A$85:$A$126, 0)), 0)</f>
      </c>
      <c r="C32" t="str">
        <f>IFERROR(INDEX('9_Output_by_ISIC'!$B$2:$B$43, MATCH($A32, '9_Output_by_ISIC'!$A$2:$A$43, 0)), 0)</f>
      </c>
      <c r="D32" t="str">
        <f>B32/MAX(C32, Keys!$C$4)</f>
      </c>
      <c r="E32" t="str">
        <f>MIN(1, MAX(0, D32))</f>
      </c>
      <c r="F32" t="str">
        <f>IFERROR(INDEX('9c_ESoP_overrides'!$B$2:$B$3, MATCH($A32, '9c_ESoP_overrides'!$A$2:$A$3, 0)), E32)</f>
      </c>
    </row>
    <row r="33">
      <c r="A33" t="s">
        <v>470</v>
      </c>
      <c r="B33" t="str">
        <f>IFERROR(INDEX('8_Calc_Exp_ISIC'!$C$85:$C$126, MATCH($A33, '8_Calc_Exp_ISIC'!$A$85:$A$126, 0)), 0)</f>
      </c>
      <c r="C33" t="str">
        <f>IFERROR(INDEX('9_Output_by_ISIC'!$B$2:$B$43, MATCH($A33, '9_Output_by_ISIC'!$A$2:$A$43, 0)), 0)</f>
      </c>
      <c r="D33" t="str">
        <f>B33/MAX(C33, Keys!$C$4)</f>
      </c>
      <c r="E33" t="str">
        <f>MIN(1, MAX(0, D33))</f>
      </c>
      <c r="F33" t="str">
        <f>IFERROR(INDEX('9c_ESoP_overrides'!$B$2:$B$3, MATCH($A33, '9c_ESoP_overrides'!$A$2:$A$3, 0)), E33)</f>
      </c>
    </row>
    <row r="34">
      <c r="A34" t="s">
        <v>425</v>
      </c>
      <c r="B34" t="str">
        <f>IFERROR(INDEX('8_Calc_Exp_ISIC'!$C$85:$C$126, MATCH($A34, '8_Calc_Exp_ISIC'!$A$85:$A$126, 0)), 0)</f>
      </c>
      <c r="C34" t="str">
        <f>IFERROR(INDEX('9_Output_by_ISIC'!$B$2:$B$43, MATCH($A34, '9_Output_by_ISIC'!$A$2:$A$43, 0)), 0)</f>
      </c>
      <c r="D34" t="str">
        <f>B34/MAX(C34, Keys!$C$4)</f>
      </c>
      <c r="E34" t="str">
        <f>MIN(1, MAX(0, D34))</f>
      </c>
      <c r="F34" t="str">
        <f>IFERROR(INDEX('9c_ESoP_overrides'!$B$2:$B$3, MATCH($A34, '9c_ESoP_overrides'!$A$2:$A$3, 0)), E34)</f>
      </c>
    </row>
    <row r="35">
      <c r="A35" t="s">
        <v>177</v>
      </c>
      <c r="B35" t="str">
        <f>IFERROR(INDEX('8_Calc_Exp_ISIC'!$C$85:$C$126, MATCH($A35, '8_Calc_Exp_ISIC'!$A$85:$A$126, 0)), 0)</f>
      </c>
      <c r="C35" t="str">
        <f>IFERROR(INDEX('9_Output_by_ISIC'!$B$2:$B$43, MATCH($A35, '9_Output_by_ISIC'!$A$2:$A$43, 0)), 0)</f>
      </c>
      <c r="D35" t="str">
        <f>B35/MAX(C35, Keys!$C$4)</f>
      </c>
      <c r="E35" t="str">
        <f>MIN(1, MAX(0, D35))</f>
      </c>
      <c r="F35" t="str">
        <f>IFERROR(INDEX('9c_ESoP_overrides'!$B$2:$B$3, MATCH($A35, '9c_ESoP_overrides'!$A$2:$A$3, 0)), E35)</f>
      </c>
    </row>
    <row r="36">
      <c r="A36" t="s">
        <v>432</v>
      </c>
      <c r="B36" t="str">
        <f>IFERROR(INDEX('8_Calc_Exp_ISIC'!$C$85:$C$126, MATCH($A36, '8_Calc_Exp_ISIC'!$A$85:$A$126, 0)), 0)</f>
      </c>
      <c r="C36" t="str">
        <f>IFERROR(INDEX('9_Output_by_ISIC'!$B$2:$B$43, MATCH($A36, '9_Output_by_ISIC'!$A$2:$A$43, 0)), 0)</f>
      </c>
      <c r="D36" t="str">
        <f>B36/MAX(C36, Keys!$C$4)</f>
      </c>
      <c r="E36" t="str">
        <f>MIN(1, MAX(0, D36))</f>
      </c>
      <c r="F36" t="str">
        <f>IFERROR(INDEX('9c_ESoP_overrides'!$B$2:$B$3, MATCH($A36, '9c_ESoP_overrides'!$A$2:$A$3, 0)), E36)</f>
      </c>
    </row>
    <row r="37">
      <c r="A37" t="s">
        <v>435</v>
      </c>
      <c r="B37" t="str">
        <f>IFERROR(INDEX('8_Calc_Exp_ISIC'!$C$85:$C$126, MATCH($A37, '8_Calc_Exp_ISIC'!$A$85:$A$126, 0)), 0)</f>
      </c>
      <c r="C37" t="str">
        <f>IFERROR(INDEX('9_Output_by_ISIC'!$B$2:$B$43, MATCH($A37, '9_Output_by_ISIC'!$A$2:$A$43, 0)), 0)</f>
      </c>
      <c r="D37" t="str">
        <f>B37/MAX(C37, Keys!$C$4)</f>
      </c>
      <c r="E37" t="str">
        <f>MIN(1, MAX(0, D37))</f>
      </c>
      <c r="F37" t="str">
        <f>IFERROR(INDEX('9c_ESoP_overrides'!$B$2:$B$3, MATCH($A37, '9c_ESoP_overrides'!$A$2:$A$3, 0)), E37)</f>
      </c>
    </row>
    <row r="38">
      <c r="A38" t="s">
        <v>441</v>
      </c>
      <c r="B38" t="str">
        <f>IFERROR(INDEX('8_Calc_Exp_ISIC'!$C$85:$C$126, MATCH($A38, '8_Calc_Exp_ISIC'!$A$85:$A$126, 0)), 0)</f>
      </c>
      <c r="C38" t="str">
        <f>IFERROR(INDEX('9_Output_by_ISIC'!$B$2:$B$43, MATCH($A38, '9_Output_by_ISIC'!$A$2:$A$43, 0)), 0)</f>
      </c>
      <c r="D38" t="str">
        <f>B38/MAX(C38, Keys!$C$4)</f>
      </c>
      <c r="E38" t="str">
        <f>MIN(1, MAX(0, D38))</f>
      </c>
      <c r="F38" t="str">
        <f>IFERROR(INDEX('9c_ESoP_overrides'!$B$2:$B$3, MATCH($A38, '9c_ESoP_overrides'!$A$2:$A$3, 0)), E38)</f>
      </c>
    </row>
    <row r="39">
      <c r="A39" t="s">
        <v>445</v>
      </c>
      <c r="B39" t="str">
        <f>IFERROR(INDEX('8_Calc_Exp_ISIC'!$C$85:$C$126, MATCH($A39, '8_Calc_Exp_ISIC'!$A$85:$A$126, 0)), 0)</f>
      </c>
      <c r="C39" t="str">
        <f>IFERROR(INDEX('9_Output_by_ISIC'!$B$2:$B$43, MATCH($A39, '9_Output_by_ISIC'!$A$2:$A$43, 0)), 0)</f>
      </c>
      <c r="D39" t="str">
        <f>B39/MAX(C39, Keys!$C$4)</f>
      </c>
      <c r="E39" t="str">
        <f>MIN(1, MAX(0, D39))</f>
      </c>
      <c r="F39" t="str">
        <f>IFERROR(INDEX('9c_ESoP_overrides'!$B$2:$B$3, MATCH($A39, '9c_ESoP_overrides'!$A$2:$A$3, 0)), E39)</f>
      </c>
    </row>
    <row r="40">
      <c r="A40" t="s">
        <v>475</v>
      </c>
      <c r="B40" t="str">
        <f>IFERROR(INDEX('8_Calc_Exp_ISIC'!$C$85:$C$126, MATCH($A40, '8_Calc_Exp_ISIC'!$A$85:$A$126, 0)), 0)</f>
      </c>
      <c r="C40" t="str">
        <f>IFERROR(INDEX('9_Output_by_ISIC'!$B$2:$B$43, MATCH($A40, '9_Output_by_ISIC'!$A$2:$A$43, 0)), 0)</f>
      </c>
      <c r="D40" t="str">
        <f>B40/MAX(C40, Keys!$C$4)</f>
      </c>
      <c r="E40" t="str">
        <f>MIN(1, MAX(0, D40))</f>
      </c>
      <c r="F40" t="str">
        <f>IFERROR(INDEX('9c_ESoP_overrides'!$B$2:$B$3, MATCH($A40, '9c_ESoP_overrides'!$A$2:$A$3, 0)), E40)</f>
      </c>
    </row>
    <row r="41">
      <c r="A41" t="s">
        <v>457</v>
      </c>
      <c r="B41" t="str">
        <f>IFERROR(INDEX('8_Calc_Exp_ISIC'!$C$85:$C$126, MATCH($A41, '8_Calc_Exp_ISIC'!$A$85:$A$126, 0)), 0)</f>
      </c>
      <c r="C41" t="str">
        <f>IFERROR(INDEX('9_Output_by_ISIC'!$B$2:$B$43, MATCH($A41, '9_Output_by_ISIC'!$A$2:$A$43, 0)), 0)</f>
      </c>
      <c r="D41" t="str">
        <f>B41/MAX(C41, Keys!$C$4)</f>
      </c>
      <c r="E41" t="str">
        <f>MIN(1, MAX(0, D41))</f>
      </c>
      <c r="F41" t="str">
        <f>IFERROR(INDEX('9c_ESoP_overrides'!$B$2:$B$3, MATCH($A41, '9c_ESoP_overrides'!$A$2:$A$3, 0)), E41)</f>
      </c>
    </row>
    <row r="42">
      <c r="A42" t="s">
        <v>460</v>
      </c>
      <c r="B42" t="str">
        <f>IFERROR(INDEX('8_Calc_Exp_ISIC'!$C$85:$C$126, MATCH($A42, '8_Calc_Exp_ISIC'!$A$85:$A$126, 0)), 0)</f>
      </c>
      <c r="C42" t="str">
        <f>IFERROR(INDEX('9_Output_by_ISIC'!$B$2:$B$43, MATCH($A42, '9_Output_by_ISIC'!$A$2:$A$43, 0)), 0)</f>
      </c>
      <c r="D42" t="str">
        <f>B42/MAX(C42, Keys!$C$4)</f>
      </c>
      <c r="E42" t="str">
        <f>MIN(1, MAX(0, D42))</f>
      </c>
      <c r="F42" t="str">
        <f>IFERROR(INDEX('9c_ESoP_overrides'!$B$2:$B$3, MATCH($A42, '9c_ESoP_overrides'!$A$2:$A$3, 0)), E42)</f>
      </c>
    </row>
    <row r="43">
      <c r="A43" t="s">
        <v>466</v>
      </c>
      <c r="B43" t="str">
        <f>IFERROR(INDEX('8_Calc_Exp_ISIC'!$C$85:$C$126, MATCH($A43, '8_Calc_Exp_ISIC'!$A$85:$A$126, 0)), 0)</f>
      </c>
      <c r="C43" t="str">
        <f>IFERROR(INDEX('9_Output_by_ISIC'!$B$2:$B$43, MATCH($A43, '9_Output_by_ISIC'!$A$2:$A$43, 0)), 0)</f>
      </c>
      <c r="D43" t="str">
        <f>B43/MAX(C43, Keys!$C$4)</f>
      </c>
      <c r="E43" t="str">
        <f>MIN(1, MAX(0, D43))</f>
      </c>
      <c r="F43" t="str">
        <f>IFERROR(INDEX('9c_ESoP_overrides'!$B$2:$B$3, MATCH($A43, '9c_ESoP_overrides'!$A$2:$A$3, 0)), E43)</f>
      </c>
    </row>
    <row r="44">
      <c r="A44" t="s">
        <v>583</v>
      </c>
      <c r="B44" t="str">
        <f>IFERROR(INDEX('8_Calc_Exp_ISIC'!$C$85:$C$126, MATCH($A44, '8_Calc_Exp_ISIC'!$A$85:$A$126, 0)), 0)</f>
      </c>
      <c r="C44" t="str">
        <f>IFERROR(INDEX('9_Output_by_ISIC'!$B$2:$B$43, MATCH($A44, '9_Output_by_ISIC'!$A$2:$A$43, 0)), 0)</f>
      </c>
      <c r="D44" t="str">
        <f>B44/MAX(C44, Keys!$C$4)</f>
      </c>
      <c r="E44" t="str">
        <f>MIN(1, MAX(0, D44))</f>
      </c>
      <c r="F44" t="str">
        <f>IFERROR(INDEX('9c_ESoP_overrides'!$B$2:$B$3, MATCH($A44, '9c_ESoP_overrides'!$A$2:$A$3,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611</v>
      </c>
      <c r="B2" t="str">
        <f>INDEX('10_Calc_DCS_ratio'!$F$3:$F$44, MATCH(B$1, '10_Calc_DCS_ratio'!$A$3:$A$44, 0))</f>
      </c>
      <c r="C2" t="str">
        <f>INDEX('10_Calc_DCS_ratio'!$F$3:$F$44, MATCH(C$1, '10_Calc_DCS_ratio'!$A$3:$A$44, 0))</f>
      </c>
      <c r="D2" t="str">
        <f>INDEX('10_Calc_DCS_ratio'!$F$3:$F$44, MATCH(D$1, '10_Calc_DCS_ratio'!$A$3:$A$44, 0))</f>
      </c>
      <c r="E2" t="str">
        <f>INDEX('10_Calc_DCS_ratio'!$F$3:$F$44, MATCH(E$1, '10_Calc_DCS_ratio'!$A$3:$A$44, 0))</f>
      </c>
      <c r="F2" t="str">
        <f>INDEX('10_Calc_DCS_ratio'!$F$3:$F$44, MATCH(F$1, '10_Calc_DCS_ratio'!$A$3:$A$44, 0))</f>
      </c>
      <c r="G2" t="str">
        <f>INDEX('10_Calc_DCS_ratio'!$F$3:$F$44, MATCH(G$1, '10_Calc_DCS_ratio'!$A$3:$A$44, 0))</f>
      </c>
      <c r="H2" t="str">
        <f>INDEX('10_Calc_DCS_ratio'!$F$3:$F$44, MATCH(H$1, '10_Calc_DCS_ratio'!$A$3:$A$44, 0))</f>
      </c>
      <c r="I2" t="str">
        <f>INDEX('10_Calc_DCS_ratio'!$F$3:$F$44, MATCH(I$1, '10_Calc_DCS_ratio'!$A$3:$A$44, 0))</f>
      </c>
      <c r="J2" t="str">
        <f>INDEX('10_Calc_DCS_ratio'!$F$3:$F$44, MATCH(J$1, '10_Calc_DCS_ratio'!$A$3:$A$44, 0))</f>
      </c>
      <c r="K2" t="str">
        <f>INDEX('10_Calc_DCS_ratio'!$F$3:$F$44, MATCH(K$1, '10_Calc_DCS_ratio'!$A$3:$A$44, 0))</f>
      </c>
      <c r="L2" t="str">
        <f>INDEX('10_Calc_DCS_ratio'!$F$3:$F$44, MATCH(L$1, '10_Calc_DCS_ratio'!$A$3:$A$44, 0))</f>
      </c>
      <c r="M2" t="str">
        <f>INDEX('10_Calc_DCS_ratio'!$F$3:$F$44, MATCH(M$1, '10_Calc_DCS_ratio'!$A$3:$A$44, 0))</f>
      </c>
      <c r="N2" t="str">
        <f>INDEX('10_Calc_DCS_ratio'!$F$3:$F$44, MATCH(N$1, '10_Calc_DCS_ratio'!$A$3:$A$44, 0))</f>
      </c>
      <c r="O2" t="str">
        <f>INDEX('10_Calc_DCS_ratio'!$F$3:$F$44, MATCH(O$1, '10_Calc_DCS_ratio'!$A$3:$A$44, 0))</f>
      </c>
      <c r="P2" t="str">
        <f>INDEX('10_Calc_DCS_ratio'!$F$3:$F$44, MATCH(P$1, '10_Calc_DCS_ratio'!$A$3:$A$44, 0))</f>
      </c>
      <c r="Q2" t="str">
        <f>INDEX('10_Calc_DCS_ratio'!$F$3:$F$44, MATCH(Q$1, '10_Calc_DCS_ratio'!$A$3:$A$44, 0))</f>
      </c>
      <c r="R2" t="str">
        <f>INDEX('10_Calc_DCS_ratio'!$F$3:$F$44, MATCH(R$1, '10_Calc_DCS_ratio'!$A$3:$A$44, 0))</f>
      </c>
      <c r="S2" t="str">
        <f>INDEX('10_Calc_DCS_ratio'!$F$3:$F$44, MATCH(S$1, '10_Calc_DCS_ratio'!$A$3:$A$44, 0))</f>
      </c>
      <c r="T2" t="str">
        <f>INDEX('10_Calc_DCS_ratio'!$F$3:$F$44, MATCH(T$1, '10_Calc_DCS_ratio'!$A$3:$A$44, 0))</f>
      </c>
      <c r="U2" t="str">
        <f>INDEX('10_Calc_DCS_ratio'!$F$3:$F$44, MATCH(U$1, '10_Calc_DCS_ratio'!$A$3:$A$44, 0))</f>
      </c>
      <c r="V2" t="str">
        <f>INDEX('10_Calc_DCS_ratio'!$F$3:$F$44, MATCH(V$1, '10_Calc_DCS_ratio'!$A$3:$A$44, 0))</f>
      </c>
      <c r="W2" t="str">
        <f>INDEX('10_Calc_DCS_ratio'!$F$3:$F$44, MATCH(W$1, '10_Calc_DCS_ratio'!$A$3:$A$44, 0))</f>
      </c>
      <c r="X2" t="str">
        <f>INDEX('10_Calc_DCS_ratio'!$F$3:$F$44, MATCH(X$1, '10_Calc_DCS_ratio'!$A$3:$A$44, 0))</f>
      </c>
      <c r="Y2" t="str">
        <f>INDEX('10_Calc_DCS_ratio'!$F$3:$F$44, MATCH(Y$1, '10_Calc_DCS_ratio'!$A$3:$A$44, 0))</f>
      </c>
      <c r="Z2" t="str">
        <f>INDEX('10_Calc_DCS_ratio'!$F$3:$F$44, MATCH(Z$1, '10_Calc_DCS_ratio'!$A$3:$A$44, 0))</f>
      </c>
      <c r="AA2" t="str">
        <f>INDEX('10_Calc_DCS_ratio'!$F$3:$F$44, MATCH(AA$1, '10_Calc_DCS_ratio'!$A$3:$A$44, 0))</f>
      </c>
      <c r="AB2" t="str">
        <f>INDEX('10_Calc_DCS_ratio'!$F$3:$F$44, MATCH(AB$1, '10_Calc_DCS_ratio'!$A$3:$A$44, 0))</f>
      </c>
      <c r="AC2" t="str">
        <f>INDEX('10_Calc_DCS_ratio'!$F$3:$F$44, MATCH(AC$1, '10_Calc_DCS_ratio'!$A$3:$A$44, 0))</f>
      </c>
      <c r="AD2" t="str">
        <f>INDEX('10_Calc_DCS_ratio'!$F$3:$F$44, MATCH(AD$1, '10_Calc_DCS_ratio'!$A$3:$A$44, 0))</f>
      </c>
      <c r="AE2" t="str">
        <f>INDEX('10_Calc_DCS_ratio'!$F$3:$F$44, MATCH(AE$1, '10_Calc_DCS_ratio'!$A$3:$A$44, 0))</f>
      </c>
      <c r="AF2" t="str">
        <f>INDEX('10_Calc_DCS_ratio'!$F$3:$F$44, MATCH(AF$1, '10_Calc_DCS_ratio'!$A$3:$A$44, 0))</f>
      </c>
      <c r="AG2" t="str">
        <f>INDEX('10_Calc_DCS_ratio'!$F$3:$F$44, MATCH(AG$1, '10_Calc_DCS_ratio'!$A$3:$A$44, 0))</f>
      </c>
      <c r="AH2" t="str">
        <f>INDEX('10_Calc_DCS_ratio'!$F$3:$F$44, MATCH(AH$1, '10_Calc_DCS_ratio'!$A$3:$A$44, 0))</f>
      </c>
      <c r="AI2" t="str">
        <f>INDEX('10_Calc_DCS_ratio'!$F$3:$F$44, MATCH(AI$1, '10_Calc_DCS_ratio'!$A$3:$A$44, 0))</f>
      </c>
      <c r="AJ2" t="str">
        <f>INDEX('10_Calc_DCS_ratio'!$F$3:$F$44, MATCH(AJ$1, '10_Calc_DCS_ratio'!$A$3:$A$44, 0))</f>
      </c>
      <c r="AK2" t="str">
        <f>INDEX('10_Calc_DCS_ratio'!$F$3:$F$44, MATCH(AK$1, '10_Calc_DCS_ratio'!$A$3:$A$44, 0))</f>
      </c>
      <c r="AL2" t="str">
        <f>INDEX('10_Calc_DCS_ratio'!$F$3:$F$44, MATCH(AL$1, '10_Calc_DCS_ratio'!$A$3:$A$44, 0))</f>
      </c>
      <c r="AM2" t="str">
        <f>INDEX('10_Calc_DCS_ratio'!$F$3:$F$44, MATCH(AM$1, '10_Calc_DCS_ratio'!$A$3:$A$44, 0))</f>
      </c>
      <c r="AN2" t="str">
        <f>INDEX('10_Calc_DCS_ratio'!$F$3:$F$44, MATCH(AN$1, '10_Calc_DCS_ratio'!$A$3:$A$44, 0))</f>
      </c>
      <c r="AO2" t="str">
        <f>INDEX('10_Calc_DCS_ratio'!$F$3:$F$44, MATCH(AO$1, '10_Calc_DCS_ratio'!$A$3:$A$44, 0))</f>
      </c>
      <c r="AP2" t="str">
        <f>INDEX('10_Calc_DCS_ratio'!$F$3:$F$44, MATCH(AP$1, '10_Calc_DCS_ratio'!$A$3:$A$44, 0))</f>
      </c>
      <c r="AQ2" t="str">
        <f>INDEX('10_Calc_DCS_ratio'!$F$3:$F$44, MATCH(AQ$1, '10_Calc_DCS_ratio'!$A$3:$A$44,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612</v>
      </c>
      <c r="B2" t="str">
        <f>INDEX('11_Calc_ESoP_ratio'!$F$3:$F$44, MATCH(B$1, '11_Calc_ESoP_ratio'!$A$3:$A$44, 0))</f>
      </c>
      <c r="C2" t="str">
        <f>INDEX('11_Calc_ESoP_ratio'!$F$3:$F$44, MATCH(C$1, '11_Calc_ESoP_ratio'!$A$3:$A$44, 0))</f>
      </c>
      <c r="D2" t="str">
        <f>INDEX('11_Calc_ESoP_ratio'!$F$3:$F$44, MATCH(D$1, '11_Calc_ESoP_ratio'!$A$3:$A$44, 0))</f>
      </c>
      <c r="E2" t="str">
        <f>INDEX('11_Calc_ESoP_ratio'!$F$3:$F$44, MATCH(E$1, '11_Calc_ESoP_ratio'!$A$3:$A$44, 0))</f>
      </c>
      <c r="F2" t="str">
        <f>INDEX('11_Calc_ESoP_ratio'!$F$3:$F$44, MATCH(F$1, '11_Calc_ESoP_ratio'!$A$3:$A$44, 0))</f>
      </c>
      <c r="G2" t="str">
        <f>INDEX('11_Calc_ESoP_ratio'!$F$3:$F$44, MATCH(G$1, '11_Calc_ESoP_ratio'!$A$3:$A$44, 0))</f>
      </c>
      <c r="H2" t="str">
        <f>INDEX('11_Calc_ESoP_ratio'!$F$3:$F$44, MATCH(H$1, '11_Calc_ESoP_ratio'!$A$3:$A$44, 0))</f>
      </c>
      <c r="I2" t="str">
        <f>INDEX('11_Calc_ESoP_ratio'!$F$3:$F$44, MATCH(I$1, '11_Calc_ESoP_ratio'!$A$3:$A$44, 0))</f>
      </c>
      <c r="J2" t="str">
        <f>INDEX('11_Calc_ESoP_ratio'!$F$3:$F$44, MATCH(J$1, '11_Calc_ESoP_ratio'!$A$3:$A$44, 0))</f>
      </c>
      <c r="K2" t="str">
        <f>INDEX('11_Calc_ESoP_ratio'!$F$3:$F$44, MATCH(K$1, '11_Calc_ESoP_ratio'!$A$3:$A$44, 0))</f>
      </c>
      <c r="L2" t="str">
        <f>INDEX('11_Calc_ESoP_ratio'!$F$3:$F$44, MATCH(L$1, '11_Calc_ESoP_ratio'!$A$3:$A$44, 0))</f>
      </c>
      <c r="M2" t="str">
        <f>INDEX('11_Calc_ESoP_ratio'!$F$3:$F$44, MATCH(M$1, '11_Calc_ESoP_ratio'!$A$3:$A$44, 0))</f>
      </c>
      <c r="N2" t="str">
        <f>INDEX('11_Calc_ESoP_ratio'!$F$3:$F$44, MATCH(N$1, '11_Calc_ESoP_ratio'!$A$3:$A$44, 0))</f>
      </c>
      <c r="O2" t="str">
        <f>INDEX('11_Calc_ESoP_ratio'!$F$3:$F$44, MATCH(O$1, '11_Calc_ESoP_ratio'!$A$3:$A$44, 0))</f>
      </c>
      <c r="P2" t="str">
        <f>INDEX('11_Calc_ESoP_ratio'!$F$3:$F$44, MATCH(P$1, '11_Calc_ESoP_ratio'!$A$3:$A$44, 0))</f>
      </c>
      <c r="Q2" t="str">
        <f>INDEX('11_Calc_ESoP_ratio'!$F$3:$F$44, MATCH(Q$1, '11_Calc_ESoP_ratio'!$A$3:$A$44, 0))</f>
      </c>
      <c r="R2" t="str">
        <f>INDEX('11_Calc_ESoP_ratio'!$F$3:$F$44, MATCH(R$1, '11_Calc_ESoP_ratio'!$A$3:$A$44, 0))</f>
      </c>
      <c r="S2" t="str">
        <f>INDEX('11_Calc_ESoP_ratio'!$F$3:$F$44, MATCH(S$1, '11_Calc_ESoP_ratio'!$A$3:$A$44, 0))</f>
      </c>
      <c r="T2" t="str">
        <f>INDEX('11_Calc_ESoP_ratio'!$F$3:$F$44, MATCH(T$1, '11_Calc_ESoP_ratio'!$A$3:$A$44, 0))</f>
      </c>
      <c r="U2" t="str">
        <f>INDEX('11_Calc_ESoP_ratio'!$F$3:$F$44, MATCH(U$1, '11_Calc_ESoP_ratio'!$A$3:$A$44, 0))</f>
      </c>
      <c r="V2" t="str">
        <f>INDEX('11_Calc_ESoP_ratio'!$F$3:$F$44, MATCH(V$1, '11_Calc_ESoP_ratio'!$A$3:$A$44, 0))</f>
      </c>
      <c r="W2" t="str">
        <f>INDEX('11_Calc_ESoP_ratio'!$F$3:$F$44, MATCH(W$1, '11_Calc_ESoP_ratio'!$A$3:$A$44, 0))</f>
      </c>
      <c r="X2" t="str">
        <f>INDEX('11_Calc_ESoP_ratio'!$F$3:$F$44, MATCH(X$1, '11_Calc_ESoP_ratio'!$A$3:$A$44, 0))</f>
      </c>
      <c r="Y2" t="str">
        <f>INDEX('11_Calc_ESoP_ratio'!$F$3:$F$44, MATCH(Y$1, '11_Calc_ESoP_ratio'!$A$3:$A$44, 0))</f>
      </c>
      <c r="Z2" t="str">
        <f>INDEX('11_Calc_ESoP_ratio'!$F$3:$F$44, MATCH(Z$1, '11_Calc_ESoP_ratio'!$A$3:$A$44, 0))</f>
      </c>
      <c r="AA2" t="str">
        <f>INDEX('11_Calc_ESoP_ratio'!$F$3:$F$44, MATCH(AA$1, '11_Calc_ESoP_ratio'!$A$3:$A$44, 0))</f>
      </c>
      <c r="AB2" t="str">
        <f>INDEX('11_Calc_ESoP_ratio'!$F$3:$F$44, MATCH(AB$1, '11_Calc_ESoP_ratio'!$A$3:$A$44, 0))</f>
      </c>
      <c r="AC2" t="str">
        <f>INDEX('11_Calc_ESoP_ratio'!$F$3:$F$44, MATCH(AC$1, '11_Calc_ESoP_ratio'!$A$3:$A$44, 0))</f>
      </c>
      <c r="AD2" t="str">
        <f>INDEX('11_Calc_ESoP_ratio'!$F$3:$F$44, MATCH(AD$1, '11_Calc_ESoP_ratio'!$A$3:$A$44, 0))</f>
      </c>
      <c r="AE2" t="str">
        <f>INDEX('11_Calc_ESoP_ratio'!$F$3:$F$44, MATCH(AE$1, '11_Calc_ESoP_ratio'!$A$3:$A$44, 0))</f>
      </c>
      <c r="AF2" t="str">
        <f>INDEX('11_Calc_ESoP_ratio'!$F$3:$F$44, MATCH(AF$1, '11_Calc_ESoP_ratio'!$A$3:$A$44, 0))</f>
      </c>
      <c r="AG2" t="str">
        <f>INDEX('11_Calc_ESoP_ratio'!$F$3:$F$44, MATCH(AG$1, '11_Calc_ESoP_ratio'!$A$3:$A$44, 0))</f>
      </c>
      <c r="AH2" t="str">
        <f>INDEX('11_Calc_ESoP_ratio'!$F$3:$F$44, MATCH(AH$1, '11_Calc_ESoP_ratio'!$A$3:$A$44, 0))</f>
      </c>
      <c r="AI2" t="str">
        <f>INDEX('11_Calc_ESoP_ratio'!$F$3:$F$44, MATCH(AI$1, '11_Calc_ESoP_ratio'!$A$3:$A$44, 0))</f>
      </c>
      <c r="AJ2" t="str">
        <f>INDEX('11_Calc_ESoP_ratio'!$F$3:$F$44, MATCH(AJ$1, '11_Calc_ESoP_ratio'!$A$3:$A$44, 0))</f>
      </c>
      <c r="AK2" t="str">
        <f>INDEX('11_Calc_ESoP_ratio'!$F$3:$F$44, MATCH(AK$1, '11_Calc_ESoP_ratio'!$A$3:$A$44, 0))</f>
      </c>
      <c r="AL2" t="str">
        <f>INDEX('11_Calc_ESoP_ratio'!$F$3:$F$44, MATCH(AL$1, '11_Calc_ESoP_ratio'!$A$3:$A$44, 0))</f>
      </c>
      <c r="AM2" t="str">
        <f>INDEX('11_Calc_ESoP_ratio'!$F$3:$F$44, MATCH(AM$1, '11_Calc_ESoP_ratio'!$A$3:$A$44, 0))</f>
      </c>
      <c r="AN2" t="str">
        <f>INDEX('11_Calc_ESoP_ratio'!$F$3:$F$44, MATCH(AN$1, '11_Calc_ESoP_ratio'!$A$3:$A$44, 0))</f>
      </c>
      <c r="AO2" t="str">
        <f>INDEX('11_Calc_ESoP_ratio'!$F$3:$F$44, MATCH(AO$1, '11_Calc_ESoP_ratio'!$A$3:$A$44, 0))</f>
      </c>
      <c r="AP2" t="str">
        <f>INDEX('11_Calc_ESoP_ratio'!$F$3:$F$44, MATCH(AP$1, '11_Calc_ESoP_ratio'!$A$3:$A$44, 0))</f>
      </c>
      <c r="AQ2" t="str">
        <f>INDEX('11_Calc_ESoP_ratio'!$F$3:$F$44, MATCH(AQ$1, '11_Calc_ESoP_ratio'!$A$3:$A$44,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2026-07-17T19:18:12Z</dcterms:created>
</coreProperties>
</file>