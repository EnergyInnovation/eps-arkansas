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AR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814</v>
      </c>
      <c r="C4" t="inlineStr">
        <is>
          <t>Entergy Arkansas LLC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AR</t>
        </is>
      </c>
      <c r="H4" t="inlineStr">
        <is>
          <t>Investor Owned</t>
        </is>
      </c>
      <c r="I4" t="inlineStr">
        <is>
          <t>MISO</t>
        </is>
      </c>
      <c r="J4" t="n">
        <v>999636.9</v>
      </c>
      <c r="K4" t="n">
        <v>7708656</v>
      </c>
      <c r="L4" t="n">
        <v>608362</v>
      </c>
      <c r="M4" t="n">
        <v>590191</v>
      </c>
      <c r="N4" t="n">
        <v>5782232</v>
      </c>
      <c r="O4" t="n">
        <v>100665</v>
      </c>
      <c r="P4" t="n">
        <v>632141.6</v>
      </c>
      <c r="Q4" t="n">
        <v>9932422</v>
      </c>
      <c r="R4" t="n">
        <v>23636</v>
      </c>
      <c r="S4" t="n">
        <v>0.8</v>
      </c>
      <c r="T4" t="n">
        <v>4</v>
      </c>
      <c r="U4" t="n">
        <v>1</v>
      </c>
      <c r="V4" t="n">
        <v>2221970.3</v>
      </c>
      <c r="W4" t="n">
        <v>23423314</v>
      </c>
      <c r="X4" t="n">
        <v>732664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817</v>
      </c>
      <c r="C5" t="inlineStr">
        <is>
          <t>Arkansas Valley Elec Coop Corp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AR</t>
        </is>
      </c>
      <c r="H5" t="inlineStr">
        <is>
          <t>Cooperative</t>
        </is>
      </c>
      <c r="I5" t="inlineStr">
        <is>
          <t>SWPP</t>
        </is>
      </c>
      <c r="J5" t="n">
        <v>96119.8</v>
      </c>
      <c r="K5" t="n">
        <v>721279</v>
      </c>
      <c r="L5" t="n">
        <v>54372</v>
      </c>
      <c r="M5" t="n">
        <v>22508.1</v>
      </c>
      <c r="N5" t="n">
        <v>186217</v>
      </c>
      <c r="O5" t="n">
        <v>4147</v>
      </c>
      <c r="P5" t="n">
        <v>16641.9</v>
      </c>
      <c r="Q5" t="n">
        <v>280289</v>
      </c>
      <c r="R5" t="n">
        <v>48</v>
      </c>
      <c r="S5" t="n">
        <v>0</v>
      </c>
      <c r="T5" t="n">
        <v>0</v>
      </c>
      <c r="U5" t="n">
        <v>0</v>
      </c>
      <c r="V5" t="n">
        <v>135269.8</v>
      </c>
      <c r="W5" t="n">
        <v>1187785</v>
      </c>
      <c r="X5" t="n">
        <v>58567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1581</v>
      </c>
      <c r="C6" t="inlineStr">
        <is>
          <t>City of Benton - (AR)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AR</t>
        </is>
      </c>
      <c r="H6" t="inlineStr">
        <is>
          <t>Municipal</t>
        </is>
      </c>
      <c r="I6" t="inlineStr">
        <is>
          <t>MISO</t>
        </is>
      </c>
      <c r="J6" t="n">
        <v>16004</v>
      </c>
      <c r="K6" t="n">
        <v>155389</v>
      </c>
      <c r="L6" t="n">
        <v>12972</v>
      </c>
      <c r="M6" t="n">
        <v>8044</v>
      </c>
      <c r="N6" t="n">
        <v>89129</v>
      </c>
      <c r="O6" t="n">
        <v>1777</v>
      </c>
      <c r="P6" t="n">
        <v>2993</v>
      </c>
      <c r="Q6" t="n">
        <v>39037</v>
      </c>
      <c r="R6" t="n">
        <v>7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27041</v>
      </c>
      <c r="W6" t="n">
        <v>283555</v>
      </c>
      <c r="X6" t="n">
        <v>14756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1586</v>
      </c>
      <c r="C7" t="inlineStr">
        <is>
          <t>City of Bentonville - (AR)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AR</t>
        </is>
      </c>
      <c r="H7" t="inlineStr">
        <is>
          <t>Municipal</t>
        </is>
      </c>
      <c r="I7" t="inlineStr">
        <is>
          <t>SWPP</t>
        </is>
      </c>
      <c r="J7" t="n">
        <v>33472</v>
      </c>
      <c r="K7" t="n">
        <v>287396</v>
      </c>
      <c r="L7" t="n">
        <v>25103</v>
      </c>
      <c r="M7" t="n">
        <v>40564</v>
      </c>
      <c r="N7" t="n">
        <v>448206</v>
      </c>
      <c r="O7" t="n">
        <v>3921</v>
      </c>
      <c r="P7" t="inlineStr">
        <is>
          <t>.</t>
        </is>
      </c>
      <c r="Q7" t="inlineStr">
        <is>
          <t>.</t>
        </is>
      </c>
      <c r="R7" t="inlineStr">
        <is>
          <t>.</t>
        </is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74036</v>
      </c>
      <c r="W7" t="n">
        <v>735602</v>
      </c>
      <c r="X7" t="n">
        <v>29024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2678</v>
      </c>
      <c r="C8" t="inlineStr">
        <is>
          <t>C &amp; L Electric Coop Corp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AR</t>
        </is>
      </c>
      <c r="H8" t="inlineStr">
        <is>
          <t>Cooperative</t>
        </is>
      </c>
      <c r="I8" t="inlineStr">
        <is>
          <t>MISO</t>
        </is>
      </c>
      <c r="J8" t="n">
        <v>33414</v>
      </c>
      <c r="K8" t="n">
        <v>251978</v>
      </c>
      <c r="L8" t="n">
        <v>20000</v>
      </c>
      <c r="M8" t="n">
        <v>12694</v>
      </c>
      <c r="N8" t="n">
        <v>98700</v>
      </c>
      <c r="O8" t="n">
        <v>2251</v>
      </c>
      <c r="P8" t="n">
        <v>1569</v>
      </c>
      <c r="Q8" t="n">
        <v>15968</v>
      </c>
      <c r="R8" t="n">
        <v>10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47677</v>
      </c>
      <c r="W8" t="n">
        <v>366646</v>
      </c>
      <c r="X8" t="n">
        <v>22261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3093</v>
      </c>
      <c r="C9" t="inlineStr">
        <is>
          <t>Carroll Electric Coop Corp - (AR)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AR</t>
        </is>
      </c>
      <c r="H9" t="inlineStr">
        <is>
          <t>Cooperative</t>
        </is>
      </c>
      <c r="I9" t="inlineStr">
        <is>
          <t>SWPP</t>
        </is>
      </c>
      <c r="J9" t="n">
        <v>161753</v>
      </c>
      <c r="K9" t="n">
        <v>1320033</v>
      </c>
      <c r="L9" t="n">
        <v>101154</v>
      </c>
      <c r="M9" t="n">
        <v>45662</v>
      </c>
      <c r="N9" t="n">
        <v>443350</v>
      </c>
      <c r="O9" t="n">
        <v>6914</v>
      </c>
      <c r="P9" t="n">
        <v>27686</v>
      </c>
      <c r="Q9" t="n">
        <v>364278</v>
      </c>
      <c r="R9" t="n">
        <v>52</v>
      </c>
      <c r="S9" t="n">
        <v>0</v>
      </c>
      <c r="T9" t="n">
        <v>0</v>
      </c>
      <c r="U9" t="n">
        <v>0</v>
      </c>
      <c r="V9" t="n">
        <v>235101</v>
      </c>
      <c r="W9" t="n">
        <v>2127661</v>
      </c>
      <c r="X9" t="n">
        <v>108120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3705</v>
      </c>
      <c r="C10" t="inlineStr">
        <is>
          <t>Clarksville Connected Utilities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AR</t>
        </is>
      </c>
      <c r="H10" t="inlineStr">
        <is>
          <t>Municipal</t>
        </is>
      </c>
      <c r="I10" t="inlineStr">
        <is>
          <t>SWPP</t>
        </is>
      </c>
      <c r="J10" t="n">
        <v>3923.8</v>
      </c>
      <c r="K10" t="n">
        <v>45234</v>
      </c>
      <c r="L10" t="n">
        <v>3812</v>
      </c>
      <c r="M10" t="n">
        <v>3714.7</v>
      </c>
      <c r="N10" t="n">
        <v>35537</v>
      </c>
      <c r="O10" t="n">
        <v>716</v>
      </c>
      <c r="P10" t="n">
        <v>7982.8</v>
      </c>
      <c r="Q10" t="n">
        <v>116217</v>
      </c>
      <c r="R10" t="n">
        <v>50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15621.3</v>
      </c>
      <c r="W10" t="n">
        <v>196988</v>
      </c>
      <c r="X10" t="n">
        <v>4578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3712</v>
      </c>
      <c r="C11" t="inlineStr">
        <is>
          <t>Clay County Electric Coop Corp - (AR)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AR</t>
        </is>
      </c>
      <c r="H11" t="inlineStr">
        <is>
          <t>Cooperative</t>
        </is>
      </c>
      <c r="I11" t="inlineStr">
        <is>
          <t>MISO</t>
        </is>
      </c>
      <c r="J11" t="n">
        <v>15795.6</v>
      </c>
      <c r="K11" t="n">
        <v>111277</v>
      </c>
      <c r="L11" t="n">
        <v>10523</v>
      </c>
      <c r="M11" t="n">
        <v>11892.7</v>
      </c>
      <c r="N11" t="n">
        <v>83420</v>
      </c>
      <c r="O11" t="n">
        <v>2779</v>
      </c>
      <c r="P11" t="n">
        <v>7938</v>
      </c>
      <c r="Q11" t="n">
        <v>92833</v>
      </c>
      <c r="R11" t="n">
        <v>14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35626.3</v>
      </c>
      <c r="W11" t="n">
        <v>287530</v>
      </c>
      <c r="X11" t="n">
        <v>13316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4280</v>
      </c>
      <c r="C12" t="inlineStr">
        <is>
          <t>Conway Corporation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AR</t>
        </is>
      </c>
      <c r="H12" t="inlineStr">
        <is>
          <t>Municipal</t>
        </is>
      </c>
      <c r="I12" t="inlineStr">
        <is>
          <t>MISO</t>
        </is>
      </c>
      <c r="J12" t="n">
        <v>30354</v>
      </c>
      <c r="K12" t="n">
        <v>366220</v>
      </c>
      <c r="L12" t="n">
        <v>30979</v>
      </c>
      <c r="M12" t="n">
        <v>20236.2</v>
      </c>
      <c r="N12" t="n">
        <v>257739</v>
      </c>
      <c r="O12" t="n">
        <v>3161</v>
      </c>
      <c r="P12" t="n">
        <v>18092</v>
      </c>
      <c r="Q12" t="n">
        <v>277336</v>
      </c>
      <c r="R12" t="n">
        <v>100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68682.2</v>
      </c>
      <c r="W12" t="n">
        <v>901295</v>
      </c>
      <c r="X12" t="n">
        <v>34240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4509</v>
      </c>
      <c r="C13" t="inlineStr">
        <is>
          <t>Craighead Electric Coop Corp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AR</t>
        </is>
      </c>
      <c r="H13" t="inlineStr">
        <is>
          <t>Cooperative</t>
        </is>
      </c>
      <c r="I13" t="inlineStr">
        <is>
          <t>MISO</t>
        </is>
      </c>
      <c r="J13" t="n">
        <v>46240</v>
      </c>
      <c r="K13" t="n">
        <v>385539</v>
      </c>
      <c r="L13" t="n">
        <v>25326</v>
      </c>
      <c r="M13" t="n">
        <v>15863</v>
      </c>
      <c r="N13" t="n">
        <v>122431</v>
      </c>
      <c r="O13" t="n">
        <v>6243</v>
      </c>
      <c r="P13" t="n">
        <v>9790</v>
      </c>
      <c r="Q13" t="n">
        <v>71433</v>
      </c>
      <c r="R13" t="n">
        <v>1236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71893</v>
      </c>
      <c r="W13" t="n">
        <v>579403</v>
      </c>
      <c r="X13" t="n">
        <v>32805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5860</v>
      </c>
      <c r="C14" t="inlineStr">
        <is>
          <t>Empire District Electric Co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AR</t>
        </is>
      </c>
      <c r="H14" t="inlineStr">
        <is>
          <t>Investor Owned</t>
        </is>
      </c>
      <c r="I14" t="inlineStr">
        <is>
          <t>SWPP</t>
        </is>
      </c>
      <c r="J14" t="n">
        <v>7105.1</v>
      </c>
      <c r="K14" t="n">
        <v>53043</v>
      </c>
      <c r="L14" t="n">
        <v>4813</v>
      </c>
      <c r="M14" t="n">
        <v>4109.2</v>
      </c>
      <c r="N14" t="n">
        <v>41003</v>
      </c>
      <c r="O14" t="n">
        <v>829</v>
      </c>
      <c r="P14" t="n">
        <v>6106.5</v>
      </c>
      <c r="Q14" t="n">
        <v>83712</v>
      </c>
      <c r="R14" t="n">
        <v>11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17320.8</v>
      </c>
      <c r="W14" t="n">
        <v>177758</v>
      </c>
      <c r="X14" t="n">
        <v>5653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6342</v>
      </c>
      <c r="C15" t="inlineStr">
        <is>
          <t>First Electric Coop Corp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AR</t>
        </is>
      </c>
      <c r="H15" t="inlineStr">
        <is>
          <t>Cooperative</t>
        </is>
      </c>
      <c r="I15" t="inlineStr">
        <is>
          <t>MISO</t>
        </is>
      </c>
      <c r="J15" t="n">
        <v>163494</v>
      </c>
      <c r="K15" t="n">
        <v>1332404</v>
      </c>
      <c r="L15" t="n">
        <v>95175</v>
      </c>
      <c r="M15" t="n">
        <v>36452</v>
      </c>
      <c r="N15" t="n">
        <v>225602</v>
      </c>
      <c r="O15" t="n">
        <v>7003</v>
      </c>
      <c r="P15" t="n">
        <v>38310</v>
      </c>
      <c r="Q15" t="n">
        <v>505212</v>
      </c>
      <c r="R15" t="n">
        <v>1782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238256</v>
      </c>
      <c r="W15" t="n">
        <v>2063218</v>
      </c>
      <c r="X15" t="n">
        <v>103960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8840</v>
      </c>
      <c r="C16" t="inlineStr">
        <is>
          <t>City of Hope - (AR)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AR</t>
        </is>
      </c>
      <c r="H16" t="inlineStr">
        <is>
          <t>Municipal</t>
        </is>
      </c>
      <c r="I16" t="inlineStr">
        <is>
          <t>MISO</t>
        </is>
      </c>
      <c r="J16" t="n">
        <v>7372</v>
      </c>
      <c r="K16" t="n">
        <v>63051</v>
      </c>
      <c r="L16" t="n">
        <v>5782</v>
      </c>
      <c r="M16" t="n">
        <v>12317</v>
      </c>
      <c r="N16" t="n">
        <v>110380</v>
      </c>
      <c r="O16" t="n">
        <v>1099</v>
      </c>
      <c r="P16" t="n">
        <v>4256</v>
      </c>
      <c r="Q16" t="n">
        <v>44823</v>
      </c>
      <c r="R16" t="n">
        <v>1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23945</v>
      </c>
      <c r="W16" t="n">
        <v>218254</v>
      </c>
      <c r="X16" t="n">
        <v>6882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9879</v>
      </c>
      <c r="C17" t="inlineStr">
        <is>
          <t>City Water and Light Plant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AR</t>
        </is>
      </c>
      <c r="H17" t="inlineStr">
        <is>
          <t>Municipal</t>
        </is>
      </c>
      <c r="I17" t="inlineStr">
        <is>
          <t>MISO</t>
        </is>
      </c>
      <c r="J17" t="n">
        <v>33351</v>
      </c>
      <c r="K17" t="n">
        <v>503106</v>
      </c>
      <c r="L17" t="n">
        <v>35013</v>
      </c>
      <c r="M17" t="n">
        <v>21964</v>
      </c>
      <c r="N17" t="n">
        <v>324371</v>
      </c>
      <c r="O17" t="n">
        <v>5616</v>
      </c>
      <c r="P17" t="n">
        <v>29367</v>
      </c>
      <c r="Q17" t="n">
        <v>577644</v>
      </c>
      <c r="R17" t="n">
        <v>38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84682</v>
      </c>
      <c r="W17" t="n">
        <v>1405121</v>
      </c>
      <c r="X17" t="n">
        <v>40667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12681</v>
      </c>
      <c r="C18" t="inlineStr">
        <is>
          <t>Mississippi County Electric Co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AR</t>
        </is>
      </c>
      <c r="H18" t="inlineStr">
        <is>
          <t>Cooperative</t>
        </is>
      </c>
      <c r="I18" t="inlineStr">
        <is>
          <t>MISO</t>
        </is>
      </c>
      <c r="J18" t="n">
        <v>4653</v>
      </c>
      <c r="K18" t="n">
        <v>54855</v>
      </c>
      <c r="L18" t="n">
        <v>3232</v>
      </c>
      <c r="M18" t="n">
        <v>1409</v>
      </c>
      <c r="N18" t="n">
        <v>16187</v>
      </c>
      <c r="O18" t="n">
        <v>779</v>
      </c>
      <c r="P18" t="n">
        <v>159029</v>
      </c>
      <c r="Q18" t="n">
        <v>3129990</v>
      </c>
      <c r="R18" t="n">
        <v>908</v>
      </c>
      <c r="S18" t="n">
        <v>0</v>
      </c>
      <c r="T18" t="n">
        <v>0</v>
      </c>
      <c r="U18" t="n">
        <v>0</v>
      </c>
      <c r="V18" t="n">
        <v>165091</v>
      </c>
      <c r="W18" t="n">
        <v>3201032</v>
      </c>
      <c r="X18" t="n">
        <v>4919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13676</v>
      </c>
      <c r="C19" t="inlineStr">
        <is>
          <t>North Arkansas Elec Coop, Inc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AR</t>
        </is>
      </c>
      <c r="H19" t="inlineStr">
        <is>
          <t>Cooperative</t>
        </is>
      </c>
      <c r="I19" t="inlineStr">
        <is>
          <t>MISO</t>
        </is>
      </c>
      <c r="J19" t="n">
        <v>54083.4</v>
      </c>
      <c r="K19" t="n">
        <v>420412</v>
      </c>
      <c r="L19" t="n">
        <v>36355</v>
      </c>
      <c r="M19" t="n">
        <v>11834.9</v>
      </c>
      <c r="N19" t="n">
        <v>106787</v>
      </c>
      <c r="O19" t="n">
        <v>2614</v>
      </c>
      <c r="P19" t="n">
        <v>7856.8</v>
      </c>
      <c r="Q19" t="n">
        <v>97849</v>
      </c>
      <c r="R19" t="n">
        <v>9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73775.10000000001</v>
      </c>
      <c r="W19" t="n">
        <v>625048</v>
      </c>
      <c r="X19" t="n">
        <v>38978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13718</v>
      </c>
      <c r="C20" t="inlineStr">
        <is>
          <t>City of North Little Rock - (AR)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AR</t>
        </is>
      </c>
      <c r="H20" t="inlineStr">
        <is>
          <t>Municipal</t>
        </is>
      </c>
      <c r="I20" t="inlineStr">
        <is>
          <t>MISO</t>
        </is>
      </c>
      <c r="J20" t="n">
        <v>45431</v>
      </c>
      <c r="K20" t="n">
        <v>371555</v>
      </c>
      <c r="L20" t="n">
        <v>34984</v>
      </c>
      <c r="M20" t="n">
        <v>23588</v>
      </c>
      <c r="N20" t="n">
        <v>196936</v>
      </c>
      <c r="O20" t="n">
        <v>4886</v>
      </c>
      <c r="P20" t="n">
        <v>31745</v>
      </c>
      <c r="Q20" t="n">
        <v>322557</v>
      </c>
      <c r="R20" t="n">
        <v>266</v>
      </c>
      <c r="S20" t="n">
        <v>34</v>
      </c>
      <c r="T20" t="n">
        <v>259</v>
      </c>
      <c r="U20" t="n">
        <v>1</v>
      </c>
      <c r="V20" t="n">
        <v>100798</v>
      </c>
      <c r="W20" t="n">
        <v>891307</v>
      </c>
      <c r="X20" t="n">
        <v>40137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14063</v>
      </c>
      <c r="C21" t="inlineStr">
        <is>
          <t>Oklahoma Gas &amp; Electric Co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AR</t>
        </is>
      </c>
      <c r="H21" t="inlineStr">
        <is>
          <t>Investor Owned</t>
        </is>
      </c>
      <c r="I21" t="inlineStr">
        <is>
          <t>SWPP</t>
        </is>
      </c>
      <c r="J21" t="n">
        <v>82513.7</v>
      </c>
      <c r="K21" t="n">
        <v>718272</v>
      </c>
      <c r="L21" t="n">
        <v>58218</v>
      </c>
      <c r="M21" t="n">
        <v>81253.5</v>
      </c>
      <c r="N21" t="n">
        <v>813309</v>
      </c>
      <c r="O21" t="n">
        <v>11422</v>
      </c>
      <c r="P21" t="n">
        <v>73086</v>
      </c>
      <c r="Q21" t="n">
        <v>1055315</v>
      </c>
      <c r="R21" t="n">
        <v>353</v>
      </c>
      <c r="S21" t="n">
        <v>0</v>
      </c>
      <c r="T21" t="n">
        <v>0</v>
      </c>
      <c r="U21" t="n">
        <v>0</v>
      </c>
      <c r="V21" t="n">
        <v>236853.2</v>
      </c>
      <c r="W21" t="n">
        <v>2586896</v>
      </c>
      <c r="X21" t="n">
        <v>69993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14238</v>
      </c>
      <c r="C22" t="inlineStr">
        <is>
          <t>Ouachita Electric Coop Corp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AR</t>
        </is>
      </c>
      <c r="H22" t="inlineStr">
        <is>
          <t>Cooperative</t>
        </is>
      </c>
      <c r="I22" t="inlineStr">
        <is>
          <t>MISO</t>
        </is>
      </c>
      <c r="J22" t="n">
        <v>12576</v>
      </c>
      <c r="K22" t="n">
        <v>95374</v>
      </c>
      <c r="L22" t="n">
        <v>8391</v>
      </c>
      <c r="M22" t="n">
        <v>2870</v>
      </c>
      <c r="N22" t="n">
        <v>24247</v>
      </c>
      <c r="O22" t="n">
        <v>614</v>
      </c>
      <c r="P22" t="n">
        <v>10796</v>
      </c>
      <c r="Q22" t="n">
        <v>118382</v>
      </c>
      <c r="R22" t="n">
        <v>276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26242</v>
      </c>
      <c r="W22" t="n">
        <v>238003</v>
      </c>
      <c r="X22" t="n">
        <v>9281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14289</v>
      </c>
      <c r="C23" t="inlineStr">
        <is>
          <t>Ozarks Electric Coop Corp - (AR)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AR</t>
        </is>
      </c>
      <c r="H23" t="inlineStr">
        <is>
          <t>Cooperative</t>
        </is>
      </c>
      <c r="I23" t="inlineStr">
        <is>
          <t>SWPP</t>
        </is>
      </c>
      <c r="J23" t="n">
        <v>115836</v>
      </c>
      <c r="K23" t="n">
        <v>889081</v>
      </c>
      <c r="L23" t="n">
        <v>72076</v>
      </c>
      <c r="M23" t="n">
        <v>42990</v>
      </c>
      <c r="N23" t="n">
        <v>342357</v>
      </c>
      <c r="O23" t="n">
        <v>5234</v>
      </c>
      <c r="P23" t="n">
        <v>11988</v>
      </c>
      <c r="Q23" t="n">
        <v>125576</v>
      </c>
      <c r="R23" t="n">
        <v>36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170814</v>
      </c>
      <c r="W23" t="n">
        <v>1357014</v>
      </c>
      <c r="X23" t="n">
        <v>77346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14446</v>
      </c>
      <c r="C24" t="inlineStr">
        <is>
          <t>Paragould Municipal Utilities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AR</t>
        </is>
      </c>
      <c r="H24" t="inlineStr">
        <is>
          <t>Municipal</t>
        </is>
      </c>
      <c r="I24" t="inlineStr">
        <is>
          <t>SPA</t>
        </is>
      </c>
      <c r="J24" t="n">
        <v>18933</v>
      </c>
      <c r="K24" t="n">
        <v>199769</v>
      </c>
      <c r="L24" t="n">
        <v>12540</v>
      </c>
      <c r="M24" t="n">
        <v>8158</v>
      </c>
      <c r="N24" t="n">
        <v>87033</v>
      </c>
      <c r="O24" t="n">
        <v>1864</v>
      </c>
      <c r="P24" t="n">
        <v>20974</v>
      </c>
      <c r="Q24" t="n">
        <v>290890</v>
      </c>
      <c r="R24" t="n">
        <v>39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48065</v>
      </c>
      <c r="W24" t="n">
        <v>577692</v>
      </c>
      <c r="X24" t="n">
        <v>14443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14864</v>
      </c>
      <c r="C25" t="inlineStr">
        <is>
          <t>Petit Jean Electric Coop Corp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AR</t>
        </is>
      </c>
      <c r="H25" t="inlineStr">
        <is>
          <t>Cooperative</t>
        </is>
      </c>
      <c r="I25" t="inlineStr">
        <is>
          <t>MISO</t>
        </is>
      </c>
      <c r="J25" t="n">
        <v>33236</v>
      </c>
      <c r="K25" t="n">
        <v>212826</v>
      </c>
      <c r="L25" t="n">
        <v>18776</v>
      </c>
      <c r="M25" t="n">
        <v>9656</v>
      </c>
      <c r="N25" t="n">
        <v>68557</v>
      </c>
      <c r="O25" t="n">
        <v>2131</v>
      </c>
      <c r="P25" t="n">
        <v>2184</v>
      </c>
      <c r="Q25" t="n">
        <v>15440</v>
      </c>
      <c r="R25" t="n">
        <v>10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45076</v>
      </c>
      <c r="W25" t="n">
        <v>296823</v>
      </c>
      <c r="X25" t="n">
        <v>20917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17184</v>
      </c>
      <c r="C26" t="inlineStr">
        <is>
          <t>City of Siloam Springs - (AR)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AR</t>
        </is>
      </c>
      <c r="H26" t="inlineStr">
        <is>
          <t>Municipal</t>
        </is>
      </c>
      <c r="I26" t="inlineStr">
        <is>
          <t>SWPP</t>
        </is>
      </c>
      <c r="J26" t="n">
        <v>10344</v>
      </c>
      <c r="K26" t="n">
        <v>88813</v>
      </c>
      <c r="L26" t="n">
        <v>8590</v>
      </c>
      <c r="M26" t="n">
        <v>2708</v>
      </c>
      <c r="N26" t="n">
        <v>20916</v>
      </c>
      <c r="O26" t="n">
        <v>954</v>
      </c>
      <c r="P26" t="n">
        <v>15995</v>
      </c>
      <c r="Q26" t="n">
        <v>196645</v>
      </c>
      <c r="R26" t="n">
        <v>243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29047</v>
      </c>
      <c r="W26" t="n">
        <v>306374</v>
      </c>
      <c r="X26" t="n">
        <v>9787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17540</v>
      </c>
      <c r="C27" t="inlineStr">
        <is>
          <t>South Central Ark El Coop, Inc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AR</t>
        </is>
      </c>
      <c r="H27" t="inlineStr">
        <is>
          <t>Cooperative</t>
        </is>
      </c>
      <c r="I27" t="inlineStr">
        <is>
          <t>MISO</t>
        </is>
      </c>
      <c r="J27" t="n">
        <v>16012</v>
      </c>
      <c r="K27" t="n">
        <v>108938</v>
      </c>
      <c r="L27" t="n">
        <v>9410</v>
      </c>
      <c r="M27" t="n">
        <v>4672</v>
      </c>
      <c r="N27" t="n">
        <v>31177</v>
      </c>
      <c r="O27" t="n">
        <v>1247</v>
      </c>
      <c r="P27" t="n">
        <v>8571</v>
      </c>
      <c r="Q27" t="n">
        <v>109945</v>
      </c>
      <c r="R27" t="n">
        <v>18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29255</v>
      </c>
      <c r="W27" t="n">
        <v>250060</v>
      </c>
      <c r="X27" t="n">
        <v>10675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17671</v>
      </c>
      <c r="C28" t="inlineStr">
        <is>
          <t>Southwest Arkansas E C C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AR</t>
        </is>
      </c>
      <c r="H28" t="inlineStr">
        <is>
          <t>Cooperative</t>
        </is>
      </c>
      <c r="I28" t="inlineStr">
        <is>
          <t>MISO</t>
        </is>
      </c>
      <c r="J28" t="n">
        <v>47215.9</v>
      </c>
      <c r="K28" t="n">
        <v>364269</v>
      </c>
      <c r="L28" t="n">
        <v>24879</v>
      </c>
      <c r="M28" t="n">
        <v>15641.4</v>
      </c>
      <c r="N28" t="n">
        <v>139778</v>
      </c>
      <c r="O28" t="n">
        <v>3012</v>
      </c>
      <c r="P28" t="n">
        <v>13985</v>
      </c>
      <c r="Q28" t="n">
        <v>186236</v>
      </c>
      <c r="R28" t="n">
        <v>4</v>
      </c>
      <c r="S28" t="n">
        <v>0</v>
      </c>
      <c r="T28" t="n">
        <v>0</v>
      </c>
      <c r="U28" t="n">
        <v>0</v>
      </c>
      <c r="V28" t="n">
        <v>76842.3</v>
      </c>
      <c r="W28" t="n">
        <v>690283</v>
      </c>
      <c r="X28" t="n">
        <v>27895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17698</v>
      </c>
      <c r="C29" t="inlineStr">
        <is>
          <t>Southwestern Electric Power Co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AR</t>
        </is>
      </c>
      <c r="H29" t="inlineStr">
        <is>
          <t>Investor Owned</t>
        </is>
      </c>
      <c r="I29" t="inlineStr">
        <is>
          <t>SWPP</t>
        </is>
      </c>
      <c r="J29" t="n">
        <v>127222.3</v>
      </c>
      <c r="K29" t="n">
        <v>1103186</v>
      </c>
      <c r="L29" t="n">
        <v>108102</v>
      </c>
      <c r="M29" t="n">
        <v>114933.6</v>
      </c>
      <c r="N29" t="n">
        <v>1260239</v>
      </c>
      <c r="O29" t="n">
        <v>18913</v>
      </c>
      <c r="P29" t="n">
        <v>72490.3</v>
      </c>
      <c r="Q29" t="n">
        <v>1075933</v>
      </c>
      <c r="R29" t="n">
        <v>603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314646.2</v>
      </c>
      <c r="W29" t="n">
        <v>3439358</v>
      </c>
      <c r="X29" t="n">
        <v>127618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20382</v>
      </c>
      <c r="C30" t="inlineStr">
        <is>
          <t>City of West Memphis - (AR)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AR</t>
        </is>
      </c>
      <c r="H30" t="inlineStr">
        <is>
          <t>Municipal</t>
        </is>
      </c>
      <c r="I30" t="inlineStr">
        <is>
          <t>AECI</t>
        </is>
      </c>
      <c r="J30" t="n">
        <v>11281</v>
      </c>
      <c r="K30" t="n">
        <v>139667</v>
      </c>
      <c r="L30" t="n">
        <v>10199</v>
      </c>
      <c r="M30" t="n">
        <v>8557</v>
      </c>
      <c r="N30" t="n">
        <v>99222</v>
      </c>
      <c r="O30" t="n">
        <v>1509</v>
      </c>
      <c r="P30" t="n">
        <v>15705</v>
      </c>
      <c r="Q30" t="n">
        <v>125626</v>
      </c>
      <c r="R30" t="n">
        <v>192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35543</v>
      </c>
      <c r="W30" t="n">
        <v>364515</v>
      </c>
      <c r="X30" t="n">
        <v>11900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20963</v>
      </c>
      <c r="C31" t="inlineStr">
        <is>
          <t>Woodruff Electric Coop Corp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AR</t>
        </is>
      </c>
      <c r="H31" t="inlineStr">
        <is>
          <t>Cooperative</t>
        </is>
      </c>
      <c r="I31" t="inlineStr">
        <is>
          <t>MISO</t>
        </is>
      </c>
      <c r="J31" t="n">
        <v>19123.2</v>
      </c>
      <c r="K31" t="n">
        <v>167759</v>
      </c>
      <c r="L31" t="n">
        <v>12125</v>
      </c>
      <c r="M31" t="n">
        <v>13508.7</v>
      </c>
      <c r="N31" t="n">
        <v>137507</v>
      </c>
      <c r="O31" t="n">
        <v>1533</v>
      </c>
      <c r="P31" t="n">
        <v>22703.8</v>
      </c>
      <c r="Q31" t="n">
        <v>104725</v>
      </c>
      <c r="R31" t="n">
        <v>6366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55335.7</v>
      </c>
      <c r="W31" t="n">
        <v>409991</v>
      </c>
      <c r="X31" t="n">
        <v>20024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59579</v>
      </c>
      <c r="C32" t="inlineStr">
        <is>
          <t>Sunnova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AR</t>
        </is>
      </c>
      <c r="H32" t="inlineStr">
        <is>
          <t>Behind the Meter</t>
        </is>
      </c>
      <c r="I32" t="inlineStr">
        <is>
          <t>MISO</t>
        </is>
      </c>
      <c r="J32" t="n">
        <v>10</v>
      </c>
      <c r="K32" t="n">
        <v>34</v>
      </c>
      <c r="L32" t="n">
        <v>19</v>
      </c>
      <c r="M32" t="inlineStr">
        <is>
          <t>.</t>
        </is>
      </c>
      <c r="N32" t="inlineStr">
        <is>
          <t>.</t>
        </is>
      </c>
      <c r="O32" t="inlineStr">
        <is>
          <t>.</t>
        </is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10</v>
      </c>
      <c r="W32" t="n">
        <v>34</v>
      </c>
      <c r="X32" t="n">
        <v>19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59579</v>
      </c>
      <c r="C33" t="inlineStr">
        <is>
          <t>Sunnova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AR</t>
        </is>
      </c>
      <c r="H33" t="inlineStr">
        <is>
          <t>Behind the Meter</t>
        </is>
      </c>
      <c r="I33" t="inlineStr">
        <is>
          <t>SWPP</t>
        </is>
      </c>
      <c r="J33" t="n">
        <v>2.7</v>
      </c>
      <c r="K33" t="n">
        <v>9</v>
      </c>
      <c r="L33" t="n">
        <v>11</v>
      </c>
      <c r="M33" t="inlineStr">
        <is>
          <t>.</t>
        </is>
      </c>
      <c r="N33" t="inlineStr">
        <is>
          <t>.</t>
        </is>
      </c>
      <c r="O33" t="inlineStr">
        <is>
          <t>.</t>
        </is>
      </c>
      <c r="P33" t="inlineStr">
        <is>
          <t>.</t>
        </is>
      </c>
      <c r="Q33" t="inlineStr">
        <is>
          <t>.</t>
        </is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2.7</v>
      </c>
      <c r="W33" t="n">
        <v>9</v>
      </c>
      <c r="X33" t="n">
        <v>11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60025</v>
      </c>
      <c r="C34" t="inlineStr">
        <is>
          <t>Greenbacker Renewable Energy Corporation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AR</t>
        </is>
      </c>
      <c r="H34" t="inlineStr">
        <is>
          <t>Behind the Meter</t>
        </is>
      </c>
      <c r="I34" t="inlineStr">
        <is>
          <t>SPA</t>
        </is>
      </c>
      <c r="J34" t="n">
        <v>0</v>
      </c>
      <c r="K34" t="n">
        <v>0</v>
      </c>
      <c r="L34" t="n">
        <v>0</v>
      </c>
      <c r="M34" t="n">
        <v>250</v>
      </c>
      <c r="N34" t="n">
        <v>4063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250</v>
      </c>
      <c r="W34" t="n">
        <v>4063</v>
      </c>
      <c r="X34" t="n">
        <v>3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66036</v>
      </c>
      <c r="C35" t="inlineStr">
        <is>
          <t>EverBright, LLC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AR</t>
        </is>
      </c>
      <c r="H35" t="inlineStr">
        <is>
          <t>Behind the Meter</t>
        </is>
      </c>
      <c r="I35" t="inlineStr">
        <is>
          <t>MISO</t>
        </is>
      </c>
      <c r="J35" t="n">
        <v>0.6</v>
      </c>
      <c r="K35" t="n">
        <v>3</v>
      </c>
      <c r="L35" t="n">
        <v>2</v>
      </c>
      <c r="M35" t="inlineStr">
        <is>
          <t>.</t>
        </is>
      </c>
      <c r="N35" t="inlineStr">
        <is>
          <t>.</t>
        </is>
      </c>
      <c r="O35" t="inlineStr">
        <is>
          <t>.</t>
        </is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0.6</v>
      </c>
      <c r="W35" t="n">
        <v>3</v>
      </c>
      <c r="X35" t="n">
        <v>2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99999</v>
      </c>
      <c r="C36" t="inlineStr">
        <is>
          <t>Adjustment 2024</t>
        </is>
      </c>
      <c r="D36" t="inlineStr">
        <is>
          <t>A</t>
        </is>
      </c>
      <c r="E36" t="inlineStr">
        <is>
          <t>Bundled</t>
        </is>
      </c>
      <c r="F36" t="inlineStr">
        <is>
          <t>I</t>
        </is>
      </c>
      <c r="G36" t="inlineStr">
        <is>
          <t>AR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398</v>
      </c>
      <c r="N36" t="n">
        <v>2057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398</v>
      </c>
      <c r="W36" t="n">
        <v>2057</v>
      </c>
      <c r="X36" t="n">
        <v>1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99999</v>
      </c>
      <c r="C37" t="inlineStr">
        <is>
          <t>Adjustment 2024</t>
        </is>
      </c>
      <c r="D37" t="inlineStr">
        <is>
          <t>A</t>
        </is>
      </c>
      <c r="E37" t="inlineStr">
        <is>
          <t>Bundled</t>
        </is>
      </c>
      <c r="F37" t="inlineStr">
        <is>
          <t>I</t>
        </is>
      </c>
      <c r="G37" t="inlineStr">
        <is>
          <t>AR</t>
        </is>
      </c>
      <c r="H37" t="inlineStr"/>
      <c r="I37" t="inlineStr">
        <is>
          <t>SPA</t>
        </is>
      </c>
      <c r="J37" t="n">
        <v>2632.1</v>
      </c>
      <c r="K37" t="n">
        <v>18369</v>
      </c>
      <c r="L37" t="n">
        <v>1890</v>
      </c>
      <c r="M37" t="n">
        <v>2043.9</v>
      </c>
      <c r="N37" t="n">
        <v>15328</v>
      </c>
      <c r="O37" t="n">
        <v>367</v>
      </c>
      <c r="P37" t="n">
        <v>1202</v>
      </c>
      <c r="Q37" t="n">
        <v>17420</v>
      </c>
      <c r="R37" t="n">
        <v>1</v>
      </c>
      <c r="S37" t="n">
        <v>0</v>
      </c>
      <c r="T37" t="n">
        <v>0</v>
      </c>
      <c r="U37" t="n">
        <v>0</v>
      </c>
      <c r="V37" t="n">
        <v>5878</v>
      </c>
      <c r="W37" t="n">
        <v>51117</v>
      </c>
      <c r="X37" t="n">
        <v>2258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99999</v>
      </c>
      <c r="C38" t="inlineStr">
        <is>
          <t>Adjustment 2024</t>
        </is>
      </c>
      <c r="D38" t="inlineStr">
        <is>
          <t>A</t>
        </is>
      </c>
      <c r="E38" t="inlineStr">
        <is>
          <t>Bundled</t>
        </is>
      </c>
      <c r="F38" t="inlineStr">
        <is>
          <t>I</t>
        </is>
      </c>
      <c r="G38" t="inlineStr">
        <is>
          <t>AR</t>
        </is>
      </c>
      <c r="H38" t="inlineStr"/>
      <c r="I38" t="inlineStr">
        <is>
          <t>MISO</t>
        </is>
      </c>
      <c r="J38" t="n">
        <v>37287.9</v>
      </c>
      <c r="K38" t="n">
        <v>302974</v>
      </c>
      <c r="L38" t="n">
        <v>22158</v>
      </c>
      <c r="M38" t="n">
        <v>14454.4</v>
      </c>
      <c r="N38" t="n">
        <v>154979</v>
      </c>
      <c r="O38" t="n">
        <v>2564</v>
      </c>
      <c r="P38" t="n">
        <v>18651.9</v>
      </c>
      <c r="Q38" t="n">
        <v>142518</v>
      </c>
      <c r="R38" t="n">
        <v>452</v>
      </c>
      <c r="S38" t="n">
        <v>0</v>
      </c>
      <c r="T38" t="n">
        <v>0</v>
      </c>
      <c r="U38" t="n">
        <v>0</v>
      </c>
      <c r="V38" t="n">
        <v>70394.2</v>
      </c>
      <c r="W38" t="n">
        <v>600471</v>
      </c>
      <c r="X38" t="n">
        <v>25174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99999</v>
      </c>
      <c r="C39" t="inlineStr">
        <is>
          <t>Adjustment 2024</t>
        </is>
      </c>
      <c r="D39" t="inlineStr">
        <is>
          <t>A</t>
        </is>
      </c>
      <c r="E39" t="inlineStr">
        <is>
          <t>Bundled</t>
        </is>
      </c>
      <c r="F39" t="inlineStr">
        <is>
          <t>I</t>
        </is>
      </c>
      <c r="G39" t="inlineStr">
        <is>
          <t>AR</t>
        </is>
      </c>
      <c r="H39" t="inlineStr"/>
      <c r="I39" t="inlineStr">
        <is>
          <t>SWPP</t>
        </is>
      </c>
      <c r="J39" t="n">
        <v>2262.4</v>
      </c>
      <c r="K39" t="n">
        <v>19868</v>
      </c>
      <c r="L39" t="n">
        <v>1601</v>
      </c>
      <c r="M39" t="n">
        <v>1641.2</v>
      </c>
      <c r="N39" t="n">
        <v>20057</v>
      </c>
      <c r="O39" t="n">
        <v>267</v>
      </c>
      <c r="P39" t="n">
        <v>922.4</v>
      </c>
      <c r="Q39" t="n">
        <v>9607</v>
      </c>
      <c r="R39" t="n">
        <v>11</v>
      </c>
      <c r="S39" t="n">
        <v>0</v>
      </c>
      <c r="T39" t="n">
        <v>0</v>
      </c>
      <c r="U39" t="n">
        <v>0</v>
      </c>
      <c r="V39" t="n">
        <v>4826</v>
      </c>
      <c r="W39" t="n">
        <v>49532</v>
      </c>
      <c r="X39" t="n">
        <v>1879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AR</t>
        </is>
      </c>
      <c r="B2">
        <f>SUMIFS('EIA-861 Sales 2024'!$Y$4:$Y$39,'EIA-861 Sales 2024'!$Z$4:$Z$39,"cost_service")</f>
        <v/>
      </c>
      <c r="C2">
        <f>SUMIFS('EIA-861 Sales 2024'!$Y$4:$Y$39,'EIA-861 Sales 2024'!$Z$4:$Z$39,"procurement")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2026-06-02T20:15:27Z</dcterms:created>
  <dcterms:modified xmlns:dcterms="http://purl.org/dc/terms/" xmlns:xsi="http://www.w3.org/2001/XMLSchema-instance" xsi:type="dcterms:W3CDTF">2026-06-02T20:15:27Z</dcterms:modified>
</cp:coreProperties>
</file>