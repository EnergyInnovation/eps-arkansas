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AR\trans\BCDTRtSY\"/>
    </mc:Choice>
  </mc:AlternateContent>
  <xr:revisionPtr revIDLastSave="0" documentId="8_{F0C79676-85A9-467C-9E6B-EED64A8D18A3}"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<sst xmlns="http://schemas.openxmlformats.org/spreadsheetml/2006/main" count="6428" uniqueCount="3038">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</sst>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2888</v>
      </c>
      <c r="C1" s="77">
        <v>46248</v>
      </c>
      <c r="H1" t="s">
        <v>2981</v>
      </c>
      <c r="I1" t="s">
        <v>2982</v>
      </c>
    </row>
    <row r="2" spans="1:9">
      <c r="B2" t="str">
        <f>VLOOKUP(B1,H2:I52,2)</f>
        <v>AR</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Arkansas</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1.0006511791059627</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1.002689950039688</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1.0016591868223448</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1.0002233717702469</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0.99806444279392281</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0.99756894321055611</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0.99723337407413626</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0.99555168413328943</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0.99445455715186071</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0.992549338330873</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0.99132070111811144</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0.99051000247691878</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0.98975527080219006</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0.98843210208848831</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0.98730455678058449</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0.98509437059064942</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0.98277139942686287</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0.98013570574535147</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0.97771729291134302</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0.97509828929750819</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0.97223641962372864</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0.96865376752157883</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0.96519950638228158</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0.96154255493065577</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0.95826092377971939</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1.0123957016907337</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1.0189056151328451</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1.0219171539106586</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1.023689883961433</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1.0240556217757959</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1.0251007883637466</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1.0257330854797977</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1.026827225639612</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1.0274661368176579</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1.0284114608559167</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1.0286075369682783</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1.0289268487115442</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1.0287709659248945</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1.0285957258944629</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1.028371856990294</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1.0271282831075466</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1.0258388282926301</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1.0242371973069102</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1.0225246695641541</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1.0207091320007573</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1.0185395164926685</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1.0162693416128856</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1.0136557127202594</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1.0108876041639203</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1.0080616790830732</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1.0257404759345796</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1.0387385760642041</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1.0409736870372832</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1.047889896172671</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1.0587443612404264</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1.0709351417174195</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1.0872897662461409</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1.1053807057944645</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1.1256380103917436</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1.1482316660448952</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1.1640670562491162</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1.1798910151039608</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1.1953966879529856</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1.2098838623275394</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1.2247213480261963</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1.2378188872672147</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1.2518508637262544</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1.2670348526695665</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1.282043715670931</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1.2970778902973319</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1.3110719073741108</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1.3231549294620282</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1.3353237732828616</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1.3464336448417824</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1.3579178520176942</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1.0579251264049052</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1.0990207032531114</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1.1283280496718555</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1.152602029247725</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1.1721026758420878</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1.1898518536926286</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1.2053827437761344</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1.2216594848822262</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1.2329933441974648</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1.2442343285470583</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1.2518631672870224</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1.260278074046238</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1.2674144594667043</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1.2719534965097765</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1.2768048301945942</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1.2798287845941476</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1.2828489361495323</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1.2843857968848087</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1.2866617081057103</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1.2895234123475194</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1.2908445408164968</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1.2928165689002686</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1.2926365874810384</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1.2920655162757411</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1.291205953409003</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0.99649408522781679</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0.98600194661449236</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0.96973984608431452</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0.95601921405216495</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0.94465331622447735</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0.93500656349884781</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0.92766684512805908</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0.92151686859703408</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0.91658877788288817</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0.9129258633636953</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0.90644896227449034</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0.9000420401801974</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0.89351338079907916</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0.88695245046484594</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0.88051337018145281</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0.87315233558362515</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0.86622432855150366</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0.85960510371899201</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0.8530181163163939</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0.8464329224332835</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0.83944721072993056</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0.83189896892650694</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0.82425959450908948</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0.81631618693526831</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0.80866122541619234</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1.0004168239689926</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1.0029835115346952</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1.0026162718345504</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1.0020332612930929</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1.0004363241815837</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1.0011465437580387</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1.0019014805807078</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1.0011715867402691</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1.0007890367202694</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0.99953647878530105</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0.99906117750818735</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0.99901853745157831</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0.99894857614087873</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0.99819164767724888</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0.99765649443065418</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0.99630083311298445</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0.99469366347082311</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0.99286908721894518</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0.99136303650957525</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0.9897343808157032</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0.9876747003977282</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0.98493683683617761</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0.98215869098068087</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0.97924414384901437</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0.97670757027648802</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0.99066783527598257</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0.98682043334352698</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0.98263194680428512</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0.97961544479734763</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0.98127581875077774</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0.98371842882197957</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0.98790582522892378</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0.9908289327007741</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0.99562278459998355</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1.0010941553276733</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1.0068848516841096</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1.0138856518764929</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1.0220618968612505</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1.0305743722418774</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1.0395637483427052</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1.0472801619952845</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1.0543811242314542</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1.0590030976927134</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1.0633511889325675</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1.0689804880612119</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1.0750348816291613</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1.0817175663174017</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1.0871666587280484</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1.0933333617541328</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1.098762220372189</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1.0052323298363932</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1.0145851650408837</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1.0229713724271994</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1.0287094521531142</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1.0366850548179154</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1.0425519995036407</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1.0492884207416009</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1.0538770445194827</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1.0596701265470398</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1.0653140554244658</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1.0701654223029577</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1.0743280428609092</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1.0775030851218805</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1.0801205901953936</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1.0829017940560437</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1.085111805252112</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1.0867994814870177</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1.087502038903509</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1.0884978018933116</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1.0912704376714044</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1.094227145538609</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1.0970766456389787</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1.0978953485159839</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1.0986325295416859</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1.0988278681842201</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1.0212146031394771</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1.0345026337822874</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1.0412723393227892</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1.0515745986014831</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1.0646562174657663</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1.0795920316236087</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1.0974864486518172</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1.1167274083941638</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1.137604004085857</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1.1602184789049268</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1.1784097033510565</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1.1967087751623366</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1.2148992802291869</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1.2324891026453051</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1.2504290981542214</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1.2671269340582811</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1.2845446400385823</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1.3028385947755734</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1.3210968898235929</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1.3394545941107889</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1.3571742114272844</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1.3736390622773098</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1.3902479766678864</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1.4061996099680363</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1.422516286198634</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0.97192630579376316</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0.99777212031820295</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0.97196977921871619</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0.9590373435667956</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0.96016599146697768</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0.9325253833555941</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0.93342847312730315</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0.93446927379957223</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0.92883879357416577</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0.92890220751157104</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0.92814301311434988</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0.92870250389735665</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0.92614153178197334</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0.92508176287488464</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0.9230880285161468</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0.91909235553973134</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0.91311659616742535</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0.9077678851738894</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0.9047573406064553</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0.90120149058293464</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0.90000112509555108</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0.90221066990320464</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0.90197871846139577</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0.89633938842143701</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0.89133942613717376</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0.98671631894509648</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1.0002612954333616</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1.0156299230949444</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1.027514901565127</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1.040148753199966</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1.0535536429198555</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1.0688614030214636</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1.0843595040801288</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1.1004570408181604</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1.1174269088279862</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1.130443422136989</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1.1401777932344699</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1.1498415861412949</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1.1583177552527086</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1.1668168831934831</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1.1745512620293155</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1.1832305273330694</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1.1914451064487355</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1.1994545994638146</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1.2086681658094072</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1.2179565759644515</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1.2273516129926925</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1.2359584565998651</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1.2442118046679109</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1.2537290415488265</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1.0006511791059627</v>
      </c>
      <c r="E2">
        <f>'BCDTRtSY-state-adjusted'!E5</f>
        <v>1.002689950039688</v>
      </c>
      <c r="F2">
        <f>'BCDTRtSY-state-adjusted'!F5</f>
        <v>1.0016591868223448</v>
      </c>
      <c r="G2">
        <f>'BCDTRtSY-state-adjusted'!G5</f>
        <v>1.0002233717702469</v>
      </c>
      <c r="H2">
        <f>'BCDTRtSY-state-adjusted'!H5</f>
        <v>0.99806444279392281</v>
      </c>
      <c r="I2">
        <f>'BCDTRtSY-state-adjusted'!I5</f>
        <v>0.99756894321055611</v>
      </c>
      <c r="J2">
        <f>'BCDTRtSY-state-adjusted'!J5</f>
        <v>0.99723337407413626</v>
      </c>
      <c r="K2">
        <f>'BCDTRtSY-state-adjusted'!K5</f>
        <v>0.99555168413328943</v>
      </c>
      <c r="L2">
        <f>'BCDTRtSY-state-adjusted'!L5</f>
        <v>0.99445455715186071</v>
      </c>
      <c r="M2">
        <f>'BCDTRtSY-state-adjusted'!M5</f>
        <v>0.992549338330873</v>
      </c>
      <c r="N2">
        <f>'BCDTRtSY-state-adjusted'!N5</f>
        <v>0.99132070111811144</v>
      </c>
      <c r="O2">
        <f>'BCDTRtSY-state-adjusted'!O5</f>
        <v>0.99051000247691878</v>
      </c>
      <c r="P2">
        <f>'BCDTRtSY-state-adjusted'!P5</f>
        <v>0.98975527080219006</v>
      </c>
      <c r="Q2">
        <f>'BCDTRtSY-state-adjusted'!Q5</f>
        <v>0.98843210208848831</v>
      </c>
      <c r="R2">
        <f>'BCDTRtSY-state-adjusted'!R5</f>
        <v>0.98730455678058449</v>
      </c>
      <c r="S2">
        <f>'BCDTRtSY-state-adjusted'!S5</f>
        <v>0.98509437059064942</v>
      </c>
      <c r="T2">
        <f>'BCDTRtSY-state-adjusted'!T5</f>
        <v>0.98277139942686287</v>
      </c>
      <c r="U2">
        <f>'BCDTRtSY-state-adjusted'!U5</f>
        <v>0.98013570574535147</v>
      </c>
      <c r="V2">
        <f>'BCDTRtSY-state-adjusted'!V5</f>
        <v>0.97771729291134302</v>
      </c>
      <c r="W2">
        <f>'BCDTRtSY-state-adjusted'!W5</f>
        <v>0.97509828929750819</v>
      </c>
      <c r="X2">
        <f>'BCDTRtSY-state-adjusted'!X5</f>
        <v>0.97223641962372864</v>
      </c>
      <c r="Y2">
        <f>'BCDTRtSY-state-adjusted'!Y5</f>
        <v>0.96865376752157883</v>
      </c>
      <c r="Z2">
        <f>'BCDTRtSY-state-adjusted'!Z5</f>
        <v>0.96519950638228158</v>
      </c>
      <c r="AA2">
        <f>'BCDTRtSY-state-adjusted'!AA5</f>
        <v>0.96154255493065577</v>
      </c>
      <c r="AB2">
        <f>'BCDTRtSY-state-adjusted'!AB5</f>
        <v>0.95826092377971939</v>
      </c>
    </row>
    <row r="3" spans="1:28">
      <c r="A3" t="s">
        <v>118</v>
      </c>
      <c r="B3">
        <f>'BCDTRtSY-state-adjusted'!B6</f>
        <v>1</v>
      </c>
      <c r="C3">
        <f>'BCDTRtSY-state-adjusted'!C6</f>
        <v>1</v>
      </c>
      <c r="D3">
        <f>'BCDTRtSY-state-adjusted'!D6</f>
        <v>1.0123957016907337</v>
      </c>
      <c r="E3">
        <f>'BCDTRtSY-state-adjusted'!E6</f>
        <v>1.0189056151328451</v>
      </c>
      <c r="F3">
        <f>'BCDTRtSY-state-adjusted'!F6</f>
        <v>1.0219171539106586</v>
      </c>
      <c r="G3">
        <f>'BCDTRtSY-state-adjusted'!G6</f>
        <v>1.023689883961433</v>
      </c>
      <c r="H3">
        <f>'BCDTRtSY-state-adjusted'!H6</f>
        <v>1.0240556217757959</v>
      </c>
      <c r="I3">
        <f>'BCDTRtSY-state-adjusted'!I6</f>
        <v>1.0251007883637466</v>
      </c>
      <c r="J3">
        <f>'BCDTRtSY-state-adjusted'!J6</f>
        <v>1.0257330854797977</v>
      </c>
      <c r="K3">
        <f>'BCDTRtSY-state-adjusted'!K6</f>
        <v>1.026827225639612</v>
      </c>
      <c r="L3">
        <f>'BCDTRtSY-state-adjusted'!L6</f>
        <v>1.0274661368176579</v>
      </c>
      <c r="M3">
        <f>'BCDTRtSY-state-adjusted'!M6</f>
        <v>1.0284114608559167</v>
      </c>
      <c r="N3">
        <f>'BCDTRtSY-state-adjusted'!N6</f>
        <v>1.0286075369682783</v>
      </c>
      <c r="O3">
        <f>'BCDTRtSY-state-adjusted'!O6</f>
        <v>1.0289268487115442</v>
      </c>
      <c r="P3">
        <f>'BCDTRtSY-state-adjusted'!P6</f>
        <v>1.0287709659248945</v>
      </c>
      <c r="Q3">
        <f>'BCDTRtSY-state-adjusted'!Q6</f>
        <v>1.0285957258944629</v>
      </c>
      <c r="R3">
        <f>'BCDTRtSY-state-adjusted'!R6</f>
        <v>1.028371856990294</v>
      </c>
      <c r="S3">
        <f>'BCDTRtSY-state-adjusted'!S6</f>
        <v>1.0271282831075466</v>
      </c>
      <c r="T3">
        <f>'BCDTRtSY-state-adjusted'!T6</f>
        <v>1.0258388282926301</v>
      </c>
      <c r="U3">
        <f>'BCDTRtSY-state-adjusted'!U6</f>
        <v>1.0242371973069102</v>
      </c>
      <c r="V3">
        <f>'BCDTRtSY-state-adjusted'!V6</f>
        <v>1.0225246695641541</v>
      </c>
      <c r="W3">
        <f>'BCDTRtSY-state-adjusted'!W6</f>
        <v>1.0207091320007573</v>
      </c>
      <c r="X3">
        <f>'BCDTRtSY-state-adjusted'!X6</f>
        <v>1.0185395164926685</v>
      </c>
      <c r="Y3">
        <f>'BCDTRtSY-state-adjusted'!Y6</f>
        <v>1.0162693416128856</v>
      </c>
      <c r="Z3">
        <f>'BCDTRtSY-state-adjusted'!Z6</f>
        <v>1.0136557127202594</v>
      </c>
      <c r="AA3">
        <f>'BCDTRtSY-state-adjusted'!AA6</f>
        <v>1.0108876041639203</v>
      </c>
      <c r="AB3">
        <f>'BCDTRtSY-state-adjusted'!AB6</f>
        <v>1.0080616790830732</v>
      </c>
    </row>
    <row r="4" spans="1:28">
      <c r="A4" t="s">
        <v>116</v>
      </c>
      <c r="B4">
        <f>'BCDTRtSY-state-adjusted'!B7</f>
        <v>1</v>
      </c>
      <c r="C4">
        <f>'BCDTRtSY-state-adjusted'!C7</f>
        <v>1</v>
      </c>
      <c r="D4">
        <f>'BCDTRtSY-state-adjusted'!D7</f>
        <v>1.0257404759345796</v>
      </c>
      <c r="E4">
        <f>'BCDTRtSY-state-adjusted'!E7</f>
        <v>1.0387385760642041</v>
      </c>
      <c r="F4">
        <f>'BCDTRtSY-state-adjusted'!F7</f>
        <v>1.0409736870372832</v>
      </c>
      <c r="G4">
        <f>'BCDTRtSY-state-adjusted'!G7</f>
        <v>1.047889896172671</v>
      </c>
      <c r="H4">
        <f>'BCDTRtSY-state-adjusted'!H7</f>
        <v>1.0587443612404264</v>
      </c>
      <c r="I4">
        <f>'BCDTRtSY-state-adjusted'!I7</f>
        <v>1.0709351417174195</v>
      </c>
      <c r="J4">
        <f>'BCDTRtSY-state-adjusted'!J7</f>
        <v>1.0872897662461409</v>
      </c>
      <c r="K4">
        <f>'BCDTRtSY-state-adjusted'!K7</f>
        <v>1.1053807057944645</v>
      </c>
      <c r="L4">
        <f>'BCDTRtSY-state-adjusted'!L7</f>
        <v>1.1256380103917436</v>
      </c>
      <c r="M4">
        <f>'BCDTRtSY-state-adjusted'!M7</f>
        <v>1.1482316660448952</v>
      </c>
      <c r="N4">
        <f>'BCDTRtSY-state-adjusted'!N7</f>
        <v>1.1640670562491162</v>
      </c>
      <c r="O4">
        <f>'BCDTRtSY-state-adjusted'!O7</f>
        <v>1.1798910151039608</v>
      </c>
      <c r="P4">
        <f>'BCDTRtSY-state-adjusted'!P7</f>
        <v>1.1953966879529856</v>
      </c>
      <c r="Q4">
        <f>'BCDTRtSY-state-adjusted'!Q7</f>
        <v>1.2098838623275394</v>
      </c>
      <c r="R4">
        <f>'BCDTRtSY-state-adjusted'!R7</f>
        <v>1.2247213480261963</v>
      </c>
      <c r="S4">
        <f>'BCDTRtSY-state-adjusted'!S7</f>
        <v>1.2378188872672147</v>
      </c>
      <c r="T4">
        <f>'BCDTRtSY-state-adjusted'!T7</f>
        <v>1.2518508637262544</v>
      </c>
      <c r="U4">
        <f>'BCDTRtSY-state-adjusted'!U7</f>
        <v>1.2670348526695665</v>
      </c>
      <c r="V4">
        <f>'BCDTRtSY-state-adjusted'!V7</f>
        <v>1.282043715670931</v>
      </c>
      <c r="W4">
        <f>'BCDTRtSY-state-adjusted'!W7</f>
        <v>1.2970778902973319</v>
      </c>
      <c r="X4">
        <f>'BCDTRtSY-state-adjusted'!X7</f>
        <v>1.3110719073741108</v>
      </c>
      <c r="Y4">
        <f>'BCDTRtSY-state-adjusted'!Y7</f>
        <v>1.3231549294620282</v>
      </c>
      <c r="Z4">
        <f>'BCDTRtSY-state-adjusted'!Z7</f>
        <v>1.3353237732828616</v>
      </c>
      <c r="AA4">
        <f>'BCDTRtSY-state-adjusted'!AA7</f>
        <v>1.3464336448417824</v>
      </c>
      <c r="AB4">
        <f>'BCDTRtSY-state-adjusted'!AB7</f>
        <v>1.3579178520176942</v>
      </c>
    </row>
    <row r="5" spans="1:28">
      <c r="A5" t="s">
        <v>121</v>
      </c>
      <c r="B5">
        <f>'BCDTRtSY-state-adjusted'!B8</f>
        <v>1</v>
      </c>
      <c r="C5">
        <f>'BCDTRtSY-state-adjusted'!C8</f>
        <v>1</v>
      </c>
      <c r="D5">
        <f>'BCDTRtSY-state-adjusted'!D8</f>
        <v>1.0579251264049052</v>
      </c>
      <c r="E5">
        <f>'BCDTRtSY-state-adjusted'!E8</f>
        <v>1.0990207032531114</v>
      </c>
      <c r="F5">
        <f>'BCDTRtSY-state-adjusted'!F8</f>
        <v>1.1283280496718555</v>
      </c>
      <c r="G5">
        <f>'BCDTRtSY-state-adjusted'!G8</f>
        <v>1.152602029247725</v>
      </c>
      <c r="H5">
        <f>'BCDTRtSY-state-adjusted'!H8</f>
        <v>1.1721026758420878</v>
      </c>
      <c r="I5">
        <f>'BCDTRtSY-state-adjusted'!I8</f>
        <v>1.1898518536926286</v>
      </c>
      <c r="J5">
        <f>'BCDTRtSY-state-adjusted'!J8</f>
        <v>1.2053827437761344</v>
      </c>
      <c r="K5">
        <f>'BCDTRtSY-state-adjusted'!K8</f>
        <v>1.2216594848822262</v>
      </c>
      <c r="L5">
        <f>'BCDTRtSY-state-adjusted'!L8</f>
        <v>1.2329933441974648</v>
      </c>
      <c r="M5">
        <f>'BCDTRtSY-state-adjusted'!M8</f>
        <v>1.2442343285470583</v>
      </c>
      <c r="N5">
        <f>'BCDTRtSY-state-adjusted'!N8</f>
        <v>1.2518631672870224</v>
      </c>
      <c r="O5">
        <f>'BCDTRtSY-state-adjusted'!O8</f>
        <v>1.260278074046238</v>
      </c>
      <c r="P5">
        <f>'BCDTRtSY-state-adjusted'!P8</f>
        <v>1.2674144594667043</v>
      </c>
      <c r="Q5">
        <f>'BCDTRtSY-state-adjusted'!Q8</f>
        <v>1.2719534965097765</v>
      </c>
      <c r="R5">
        <f>'BCDTRtSY-state-adjusted'!R8</f>
        <v>1.2768048301945942</v>
      </c>
      <c r="S5">
        <f>'BCDTRtSY-state-adjusted'!S8</f>
        <v>1.2798287845941476</v>
      </c>
      <c r="T5">
        <f>'BCDTRtSY-state-adjusted'!T8</f>
        <v>1.2828489361495323</v>
      </c>
      <c r="U5">
        <f>'BCDTRtSY-state-adjusted'!U8</f>
        <v>1.2843857968848087</v>
      </c>
      <c r="V5">
        <f>'BCDTRtSY-state-adjusted'!V8</f>
        <v>1.2866617081057103</v>
      </c>
      <c r="W5">
        <f>'BCDTRtSY-state-adjusted'!W8</f>
        <v>1.2895234123475194</v>
      </c>
      <c r="X5">
        <f>'BCDTRtSY-state-adjusted'!X8</f>
        <v>1.2908445408164968</v>
      </c>
      <c r="Y5">
        <f>'BCDTRtSY-state-adjusted'!Y8</f>
        <v>1.2928165689002686</v>
      </c>
      <c r="Z5">
        <f>'BCDTRtSY-state-adjusted'!Z8</f>
        <v>1.2926365874810384</v>
      </c>
      <c r="AA5">
        <f>'BCDTRtSY-state-adjusted'!AA8</f>
        <v>1.2920655162757411</v>
      </c>
      <c r="AB5">
        <f>'BCDTRtSY-state-adjusted'!AB8</f>
        <v>1.291205953409003</v>
      </c>
    </row>
    <row r="6" spans="1:28">
      <c r="A6" t="s">
        <v>122</v>
      </c>
      <c r="B6">
        <f>'BCDTRtSY-state-adjusted'!B9</f>
        <v>1</v>
      </c>
      <c r="C6">
        <f>'BCDTRtSY-state-adjusted'!C9</f>
        <v>1</v>
      </c>
      <c r="D6">
        <f>'BCDTRtSY-state-adjusted'!D9</f>
        <v>0.99649408522781679</v>
      </c>
      <c r="E6">
        <f>'BCDTRtSY-state-adjusted'!E9</f>
        <v>0.98600194661449236</v>
      </c>
      <c r="F6">
        <f>'BCDTRtSY-state-adjusted'!F9</f>
        <v>0.96973984608431452</v>
      </c>
      <c r="G6">
        <f>'BCDTRtSY-state-adjusted'!G9</f>
        <v>0.95601921405216495</v>
      </c>
      <c r="H6">
        <f>'BCDTRtSY-state-adjusted'!H9</f>
        <v>0.94465331622447735</v>
      </c>
      <c r="I6">
        <f>'BCDTRtSY-state-adjusted'!I9</f>
        <v>0.93500656349884781</v>
      </c>
      <c r="J6">
        <f>'BCDTRtSY-state-adjusted'!J9</f>
        <v>0.92766684512805908</v>
      </c>
      <c r="K6">
        <f>'BCDTRtSY-state-adjusted'!K9</f>
        <v>0.92151686859703408</v>
      </c>
      <c r="L6">
        <f>'BCDTRtSY-state-adjusted'!L9</f>
        <v>0.91658877788288817</v>
      </c>
      <c r="M6">
        <f>'BCDTRtSY-state-adjusted'!M9</f>
        <v>0.9129258633636953</v>
      </c>
      <c r="N6">
        <f>'BCDTRtSY-state-adjusted'!N9</f>
        <v>0.90644896227449034</v>
      </c>
      <c r="O6">
        <f>'BCDTRtSY-state-adjusted'!O9</f>
        <v>0.9000420401801974</v>
      </c>
      <c r="P6">
        <f>'BCDTRtSY-state-adjusted'!P9</f>
        <v>0.89351338079907916</v>
      </c>
      <c r="Q6">
        <f>'BCDTRtSY-state-adjusted'!Q9</f>
        <v>0.88695245046484594</v>
      </c>
      <c r="R6">
        <f>'BCDTRtSY-state-adjusted'!R9</f>
        <v>0.88051337018145281</v>
      </c>
      <c r="S6">
        <f>'BCDTRtSY-state-adjusted'!S9</f>
        <v>0.87315233558362515</v>
      </c>
      <c r="T6">
        <f>'BCDTRtSY-state-adjusted'!T9</f>
        <v>0.86622432855150366</v>
      </c>
      <c r="U6">
        <f>'BCDTRtSY-state-adjusted'!U9</f>
        <v>0.85960510371899201</v>
      </c>
      <c r="V6">
        <f>'BCDTRtSY-state-adjusted'!V9</f>
        <v>0.8530181163163939</v>
      </c>
      <c r="W6">
        <f>'BCDTRtSY-state-adjusted'!W9</f>
        <v>0.8464329224332835</v>
      </c>
      <c r="X6">
        <f>'BCDTRtSY-state-adjusted'!X9</f>
        <v>0.83944721072993056</v>
      </c>
      <c r="Y6">
        <f>'BCDTRtSY-state-adjusted'!Y9</f>
        <v>0.83189896892650694</v>
      </c>
      <c r="Z6">
        <f>'BCDTRtSY-state-adjusted'!Z9</f>
        <v>0.82425959450908948</v>
      </c>
      <c r="AA6">
        <f>'BCDTRtSY-state-adjusted'!AA9</f>
        <v>0.81631618693526831</v>
      </c>
      <c r="AB6">
        <f>'BCDTRtSY-state-adjusted'!AB9</f>
        <v>0.80866122541619234</v>
      </c>
    </row>
    <row r="7" spans="1:28">
      <c r="A7" t="s">
        <v>123</v>
      </c>
      <c r="B7">
        <f>'BCDTRtSY-state-adjusted'!B10</f>
        <v>1</v>
      </c>
      <c r="C7">
        <f>'BCDTRtSY-state-adjusted'!C10</f>
        <v>1</v>
      </c>
      <c r="D7">
        <f>'BCDTRtSY-state-adjusted'!D10</f>
        <v>1.0004168239689926</v>
      </c>
      <c r="E7">
        <f>'BCDTRtSY-state-adjusted'!E10</f>
        <v>1.0029835115346952</v>
      </c>
      <c r="F7">
        <f>'BCDTRtSY-state-adjusted'!F10</f>
        <v>1.0026162718345504</v>
      </c>
      <c r="G7">
        <f>'BCDTRtSY-state-adjusted'!G10</f>
        <v>1.0020332612930929</v>
      </c>
      <c r="H7">
        <f>'BCDTRtSY-state-adjusted'!H10</f>
        <v>1.0004363241815837</v>
      </c>
      <c r="I7">
        <f>'BCDTRtSY-state-adjusted'!I10</f>
        <v>1.0011465437580387</v>
      </c>
      <c r="J7">
        <f>'BCDTRtSY-state-adjusted'!J10</f>
        <v>1.0019014805807078</v>
      </c>
      <c r="K7">
        <f>'BCDTRtSY-state-adjusted'!K10</f>
        <v>1.0011715867402691</v>
      </c>
      <c r="L7">
        <f>'BCDTRtSY-state-adjusted'!L10</f>
        <v>1.0007890367202694</v>
      </c>
      <c r="M7">
        <f>'BCDTRtSY-state-adjusted'!M10</f>
        <v>0.99953647878530105</v>
      </c>
      <c r="N7">
        <f>'BCDTRtSY-state-adjusted'!N10</f>
        <v>0.99906117750818735</v>
      </c>
      <c r="O7">
        <f>'BCDTRtSY-state-adjusted'!O10</f>
        <v>0.99901853745157831</v>
      </c>
      <c r="P7">
        <f>'BCDTRtSY-state-adjusted'!P10</f>
        <v>0.99894857614087873</v>
      </c>
      <c r="Q7">
        <f>'BCDTRtSY-state-adjusted'!Q10</f>
        <v>0.99819164767724888</v>
      </c>
      <c r="R7">
        <f>'BCDTRtSY-state-adjusted'!R10</f>
        <v>0.99765649443065418</v>
      </c>
      <c r="S7">
        <f>'BCDTRtSY-state-adjusted'!S10</f>
        <v>0.99630083311298445</v>
      </c>
      <c r="T7">
        <f>'BCDTRtSY-state-adjusted'!T10</f>
        <v>0.99469366347082311</v>
      </c>
      <c r="U7">
        <f>'BCDTRtSY-state-adjusted'!U10</f>
        <v>0.99286908721894518</v>
      </c>
      <c r="V7">
        <f>'BCDTRtSY-state-adjusted'!V10</f>
        <v>0.99136303650957525</v>
      </c>
      <c r="W7">
        <f>'BCDTRtSY-state-adjusted'!W10</f>
        <v>0.9897343808157032</v>
      </c>
      <c r="X7">
        <f>'BCDTRtSY-state-adjusted'!X10</f>
        <v>0.9876747003977282</v>
      </c>
      <c r="Y7">
        <f>'BCDTRtSY-state-adjusted'!Y10</f>
        <v>0.98493683683617761</v>
      </c>
      <c r="Z7">
        <f>'BCDTRtSY-state-adjusted'!Z10</f>
        <v>0.98215869098068087</v>
      </c>
      <c r="AA7">
        <f>'BCDTRtSY-state-adjusted'!AA10</f>
        <v>0.97924414384901437</v>
      </c>
      <c r="AB7">
        <f>'BCDTRtSY-state-adjusted'!AB10</f>
        <v>0.97670757027648802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0.99066783527598257</v>
      </c>
      <c r="E2">
        <f>'BCDTRtSY-state-adjusted'!E13</f>
        <v>0.98682043334352698</v>
      </c>
      <c r="F2">
        <f>'BCDTRtSY-state-adjusted'!F13</f>
        <v>0.98263194680428512</v>
      </c>
      <c r="G2">
        <f>'BCDTRtSY-state-adjusted'!G13</f>
        <v>0.97961544479734763</v>
      </c>
      <c r="H2">
        <f>'BCDTRtSY-state-adjusted'!H13</f>
        <v>0.98127581875077774</v>
      </c>
      <c r="I2">
        <f>'BCDTRtSY-state-adjusted'!I13</f>
        <v>0.98371842882197957</v>
      </c>
      <c r="J2">
        <f>'BCDTRtSY-state-adjusted'!J13</f>
        <v>0.98790582522892378</v>
      </c>
      <c r="K2">
        <f>'BCDTRtSY-state-adjusted'!K13</f>
        <v>0.9908289327007741</v>
      </c>
      <c r="L2">
        <f>'BCDTRtSY-state-adjusted'!L13</f>
        <v>0.99562278459998355</v>
      </c>
      <c r="M2">
        <f>'BCDTRtSY-state-adjusted'!M13</f>
        <v>1.0010941553276733</v>
      </c>
      <c r="N2">
        <f>'BCDTRtSY-state-adjusted'!N13</f>
        <v>1.0068848516841096</v>
      </c>
      <c r="O2">
        <f>'BCDTRtSY-state-adjusted'!O13</f>
        <v>1.0138856518764929</v>
      </c>
      <c r="P2">
        <f>'BCDTRtSY-state-adjusted'!P13</f>
        <v>1.0220618968612505</v>
      </c>
      <c r="Q2">
        <f>'BCDTRtSY-state-adjusted'!Q13</f>
        <v>1.0305743722418774</v>
      </c>
      <c r="R2">
        <f>'BCDTRtSY-state-adjusted'!R13</f>
        <v>1.0395637483427052</v>
      </c>
      <c r="S2">
        <f>'BCDTRtSY-state-adjusted'!S13</f>
        <v>1.0472801619952845</v>
      </c>
      <c r="T2">
        <f>'BCDTRtSY-state-adjusted'!T13</f>
        <v>1.0543811242314542</v>
      </c>
      <c r="U2">
        <f>'BCDTRtSY-state-adjusted'!U13</f>
        <v>1.0590030976927134</v>
      </c>
      <c r="V2">
        <f>'BCDTRtSY-state-adjusted'!V13</f>
        <v>1.0633511889325675</v>
      </c>
      <c r="W2">
        <f>'BCDTRtSY-state-adjusted'!W13</f>
        <v>1.0689804880612119</v>
      </c>
      <c r="X2">
        <f>'BCDTRtSY-state-adjusted'!X13</f>
        <v>1.0750348816291613</v>
      </c>
      <c r="Y2">
        <f>'BCDTRtSY-state-adjusted'!Y13</f>
        <v>1.0817175663174017</v>
      </c>
      <c r="Z2">
        <f>'BCDTRtSY-state-adjusted'!Z13</f>
        <v>1.0871666587280484</v>
      </c>
      <c r="AA2">
        <f>'BCDTRtSY-state-adjusted'!AA13</f>
        <v>1.0933333617541328</v>
      </c>
      <c r="AB2">
        <f>'BCDTRtSY-state-adjusted'!AB13</f>
        <v>1.098762220372189</v>
      </c>
    </row>
    <row r="3" spans="1:28">
      <c r="A3" t="s">
        <v>118</v>
      </c>
      <c r="B3">
        <f>'BCDTRtSY-state-adjusted'!B14</f>
        <v>1</v>
      </c>
      <c r="C3">
        <f>'BCDTRtSY-state-adjusted'!C14</f>
        <v>1</v>
      </c>
      <c r="D3">
        <f>'BCDTRtSY-state-adjusted'!D14</f>
        <v>1.0052323298363932</v>
      </c>
      <c r="E3">
        <f>'BCDTRtSY-state-adjusted'!E14</f>
        <v>1.0145851650408837</v>
      </c>
      <c r="F3">
        <f>'BCDTRtSY-state-adjusted'!F14</f>
        <v>1.0229713724271994</v>
      </c>
      <c r="G3">
        <f>'BCDTRtSY-state-adjusted'!G14</f>
        <v>1.0287094521531142</v>
      </c>
      <c r="H3">
        <f>'BCDTRtSY-state-adjusted'!H14</f>
        <v>1.0366850548179154</v>
      </c>
      <c r="I3">
        <f>'BCDTRtSY-state-adjusted'!I14</f>
        <v>1.0425519995036407</v>
      </c>
      <c r="J3">
        <f>'BCDTRtSY-state-adjusted'!J14</f>
        <v>1.0492884207416009</v>
      </c>
      <c r="K3">
        <f>'BCDTRtSY-state-adjusted'!K14</f>
        <v>1.0538770445194827</v>
      </c>
      <c r="L3">
        <f>'BCDTRtSY-state-adjusted'!L14</f>
        <v>1.0596701265470398</v>
      </c>
      <c r="M3">
        <f>'BCDTRtSY-state-adjusted'!M14</f>
        <v>1.0653140554244658</v>
      </c>
      <c r="N3">
        <f>'BCDTRtSY-state-adjusted'!N14</f>
        <v>1.0701654223029577</v>
      </c>
      <c r="O3">
        <f>'BCDTRtSY-state-adjusted'!O14</f>
        <v>1.0743280428609092</v>
      </c>
      <c r="P3">
        <f>'BCDTRtSY-state-adjusted'!P14</f>
        <v>1.0775030851218805</v>
      </c>
      <c r="Q3">
        <f>'BCDTRtSY-state-adjusted'!Q14</f>
        <v>1.0801205901953936</v>
      </c>
      <c r="R3">
        <f>'BCDTRtSY-state-adjusted'!R14</f>
        <v>1.0829017940560437</v>
      </c>
      <c r="S3">
        <f>'BCDTRtSY-state-adjusted'!S14</f>
        <v>1.085111805252112</v>
      </c>
      <c r="T3">
        <f>'BCDTRtSY-state-adjusted'!T14</f>
        <v>1.0867994814870177</v>
      </c>
      <c r="U3">
        <f>'BCDTRtSY-state-adjusted'!U14</f>
        <v>1.087502038903509</v>
      </c>
      <c r="V3">
        <f>'BCDTRtSY-state-adjusted'!V14</f>
        <v>1.0884978018933116</v>
      </c>
      <c r="W3">
        <f>'BCDTRtSY-state-adjusted'!W14</f>
        <v>1.0912704376714044</v>
      </c>
      <c r="X3">
        <f>'BCDTRtSY-state-adjusted'!X14</f>
        <v>1.094227145538609</v>
      </c>
      <c r="Y3">
        <f>'BCDTRtSY-state-adjusted'!Y14</f>
        <v>1.0970766456389787</v>
      </c>
      <c r="Z3">
        <f>'BCDTRtSY-state-adjusted'!Z14</f>
        <v>1.0978953485159839</v>
      </c>
      <c r="AA3">
        <f>'BCDTRtSY-state-adjusted'!AA14</f>
        <v>1.0986325295416859</v>
      </c>
      <c r="AB3">
        <f>'BCDTRtSY-state-adjusted'!AB14</f>
        <v>1.0988278681842201</v>
      </c>
    </row>
    <row r="4" spans="1:28">
      <c r="A4" t="s">
        <v>116</v>
      </c>
      <c r="B4">
        <f>'BCDTRtSY-state-adjusted'!B15</f>
        <v>1</v>
      </c>
      <c r="C4">
        <f>'BCDTRtSY-state-adjusted'!C15</f>
        <v>1</v>
      </c>
      <c r="D4">
        <f>'BCDTRtSY-state-adjusted'!D15</f>
        <v>1.0212146031394771</v>
      </c>
      <c r="E4">
        <f>'BCDTRtSY-state-adjusted'!E15</f>
        <v>1.0345026337822874</v>
      </c>
      <c r="F4">
        <f>'BCDTRtSY-state-adjusted'!F15</f>
        <v>1.0412723393227892</v>
      </c>
      <c r="G4">
        <f>'BCDTRtSY-state-adjusted'!G15</f>
        <v>1.0515745986014831</v>
      </c>
      <c r="H4">
        <f>'BCDTRtSY-state-adjusted'!H15</f>
        <v>1.0646562174657663</v>
      </c>
      <c r="I4">
        <f>'BCDTRtSY-state-adjusted'!I15</f>
        <v>1.0795920316236087</v>
      </c>
      <c r="J4">
        <f>'BCDTRtSY-state-adjusted'!J15</f>
        <v>1.0974864486518172</v>
      </c>
      <c r="K4">
        <f>'BCDTRtSY-state-adjusted'!K15</f>
        <v>1.1167274083941638</v>
      </c>
      <c r="L4">
        <f>'BCDTRtSY-state-adjusted'!L15</f>
        <v>1.137604004085857</v>
      </c>
      <c r="M4">
        <f>'BCDTRtSY-state-adjusted'!M15</f>
        <v>1.1602184789049268</v>
      </c>
      <c r="N4">
        <f>'BCDTRtSY-state-adjusted'!N15</f>
        <v>1.1784097033510565</v>
      </c>
      <c r="O4">
        <f>'BCDTRtSY-state-adjusted'!O15</f>
        <v>1.1967087751623366</v>
      </c>
      <c r="P4">
        <f>'BCDTRtSY-state-adjusted'!P15</f>
        <v>1.2148992802291869</v>
      </c>
      <c r="Q4">
        <f>'BCDTRtSY-state-adjusted'!Q15</f>
        <v>1.2324891026453051</v>
      </c>
      <c r="R4">
        <f>'BCDTRtSY-state-adjusted'!R15</f>
        <v>1.2504290981542214</v>
      </c>
      <c r="S4">
        <f>'BCDTRtSY-state-adjusted'!S15</f>
        <v>1.2671269340582811</v>
      </c>
      <c r="T4">
        <f>'BCDTRtSY-state-adjusted'!T15</f>
        <v>1.2845446400385823</v>
      </c>
      <c r="U4">
        <f>'BCDTRtSY-state-adjusted'!U15</f>
        <v>1.3028385947755734</v>
      </c>
      <c r="V4">
        <f>'BCDTRtSY-state-adjusted'!V15</f>
        <v>1.3210968898235929</v>
      </c>
      <c r="W4">
        <f>'BCDTRtSY-state-adjusted'!W15</f>
        <v>1.3394545941107889</v>
      </c>
      <c r="X4">
        <f>'BCDTRtSY-state-adjusted'!X15</f>
        <v>1.3571742114272844</v>
      </c>
      <c r="Y4">
        <f>'BCDTRtSY-state-adjusted'!Y15</f>
        <v>1.3736390622773098</v>
      </c>
      <c r="Z4">
        <f>'BCDTRtSY-state-adjusted'!Z15</f>
        <v>1.3902479766678864</v>
      </c>
      <c r="AA4">
        <f>'BCDTRtSY-state-adjusted'!AA15</f>
        <v>1.4061996099680363</v>
      </c>
      <c r="AB4">
        <f>'BCDTRtSY-state-adjusted'!AB15</f>
        <v>1.422516286198634</v>
      </c>
    </row>
    <row r="5" spans="1:28">
      <c r="A5" t="s">
        <v>121</v>
      </c>
      <c r="B5">
        <f>'BCDTRtSY-state-adjusted'!B16</f>
        <v>1</v>
      </c>
      <c r="C5">
        <f>'BCDTRtSY-state-adjusted'!C16</f>
        <v>1</v>
      </c>
      <c r="D5">
        <f>'BCDTRtSY-state-adjusted'!D16</f>
        <v>0.97192630579376316</v>
      </c>
      <c r="E5">
        <f>'BCDTRtSY-state-adjusted'!E16</f>
        <v>0.99777212031820295</v>
      </c>
      <c r="F5">
        <f>'BCDTRtSY-state-adjusted'!F16</f>
        <v>0.97196977921871619</v>
      </c>
      <c r="G5">
        <f>'BCDTRtSY-state-adjusted'!G16</f>
        <v>0.9590373435667956</v>
      </c>
      <c r="H5">
        <f>'BCDTRtSY-state-adjusted'!H16</f>
        <v>0.96016599146697768</v>
      </c>
      <c r="I5">
        <f>'BCDTRtSY-state-adjusted'!I16</f>
        <v>0.9325253833555941</v>
      </c>
      <c r="J5">
        <f>'BCDTRtSY-state-adjusted'!J16</f>
        <v>0.93342847312730315</v>
      </c>
      <c r="K5">
        <f>'BCDTRtSY-state-adjusted'!K16</f>
        <v>0.93446927379957223</v>
      </c>
      <c r="L5">
        <f>'BCDTRtSY-state-adjusted'!L16</f>
        <v>0.92883879357416577</v>
      </c>
      <c r="M5">
        <f>'BCDTRtSY-state-adjusted'!M16</f>
        <v>0.92890220751157104</v>
      </c>
      <c r="N5">
        <f>'BCDTRtSY-state-adjusted'!N16</f>
        <v>0.92814301311434988</v>
      </c>
      <c r="O5">
        <f>'BCDTRtSY-state-adjusted'!O16</f>
        <v>0.92870250389735665</v>
      </c>
      <c r="P5">
        <f>'BCDTRtSY-state-adjusted'!P16</f>
        <v>0.92614153178197334</v>
      </c>
      <c r="Q5">
        <f>'BCDTRtSY-state-adjusted'!Q16</f>
        <v>0.92508176287488464</v>
      </c>
      <c r="R5">
        <f>'BCDTRtSY-state-adjusted'!R16</f>
        <v>0.9230880285161468</v>
      </c>
      <c r="S5">
        <f>'BCDTRtSY-state-adjusted'!S16</f>
        <v>0.91909235553973134</v>
      </c>
      <c r="T5">
        <f>'BCDTRtSY-state-adjusted'!T16</f>
        <v>0.91311659616742535</v>
      </c>
      <c r="U5">
        <f>'BCDTRtSY-state-adjusted'!U16</f>
        <v>0.9077678851738894</v>
      </c>
      <c r="V5">
        <f>'BCDTRtSY-state-adjusted'!V16</f>
        <v>0.9047573406064553</v>
      </c>
      <c r="W5">
        <f>'BCDTRtSY-state-adjusted'!W16</f>
        <v>0.90120149058293464</v>
      </c>
      <c r="X5">
        <f>'BCDTRtSY-state-adjusted'!X16</f>
        <v>0.90000112509555108</v>
      </c>
      <c r="Y5">
        <f>'BCDTRtSY-state-adjusted'!Y16</f>
        <v>0.90221066990320464</v>
      </c>
      <c r="Z5">
        <f>'BCDTRtSY-state-adjusted'!Z16</f>
        <v>0.90197871846139577</v>
      </c>
      <c r="AA5">
        <f>'BCDTRtSY-state-adjusted'!AA16</f>
        <v>0.89633938842143701</v>
      </c>
      <c r="AB5">
        <f>'BCDTRtSY-state-adjusted'!AB16</f>
        <v>0.89133942613717376</v>
      </c>
    </row>
    <row r="6" spans="1:28">
      <c r="A6" t="s">
        <v>122</v>
      </c>
      <c r="B6">
        <f>'BCDTRtSY-state-adjusted'!B17</f>
        <v>1</v>
      </c>
      <c r="C6">
        <f>'BCDTRtSY-state-adjusted'!C17</f>
        <v>1</v>
      </c>
      <c r="D6">
        <f>'BCDTRtSY-state-adjusted'!D17</f>
        <v>0.98671631894509648</v>
      </c>
      <c r="E6">
        <f>'BCDTRtSY-state-adjusted'!E17</f>
        <v>1.0002612954333616</v>
      </c>
      <c r="F6">
        <f>'BCDTRtSY-state-adjusted'!F17</f>
        <v>1.0156299230949444</v>
      </c>
      <c r="G6">
        <f>'BCDTRtSY-state-adjusted'!G17</f>
        <v>1.027514901565127</v>
      </c>
      <c r="H6">
        <f>'BCDTRtSY-state-adjusted'!H17</f>
        <v>1.040148753199966</v>
      </c>
      <c r="I6">
        <f>'BCDTRtSY-state-adjusted'!I17</f>
        <v>1.0535536429198555</v>
      </c>
      <c r="J6">
        <f>'BCDTRtSY-state-adjusted'!J17</f>
        <v>1.0688614030214636</v>
      </c>
      <c r="K6">
        <f>'BCDTRtSY-state-adjusted'!K17</f>
        <v>1.0843595040801288</v>
      </c>
      <c r="L6">
        <f>'BCDTRtSY-state-adjusted'!L17</f>
        <v>1.1004570408181604</v>
      </c>
      <c r="M6">
        <f>'BCDTRtSY-state-adjusted'!M17</f>
        <v>1.1174269088279862</v>
      </c>
      <c r="N6">
        <f>'BCDTRtSY-state-adjusted'!N17</f>
        <v>1.130443422136989</v>
      </c>
      <c r="O6">
        <f>'BCDTRtSY-state-adjusted'!O17</f>
        <v>1.1401777932344699</v>
      </c>
      <c r="P6">
        <f>'BCDTRtSY-state-adjusted'!P17</f>
        <v>1.1498415861412949</v>
      </c>
      <c r="Q6">
        <f>'BCDTRtSY-state-adjusted'!Q17</f>
        <v>1.1583177552527086</v>
      </c>
      <c r="R6">
        <f>'BCDTRtSY-state-adjusted'!R17</f>
        <v>1.1668168831934831</v>
      </c>
      <c r="S6">
        <f>'BCDTRtSY-state-adjusted'!S17</f>
        <v>1.1745512620293155</v>
      </c>
      <c r="T6">
        <f>'BCDTRtSY-state-adjusted'!T17</f>
        <v>1.1832305273330694</v>
      </c>
      <c r="U6">
        <f>'BCDTRtSY-state-adjusted'!U17</f>
        <v>1.1914451064487355</v>
      </c>
      <c r="V6">
        <f>'BCDTRtSY-state-adjusted'!V17</f>
        <v>1.1994545994638146</v>
      </c>
      <c r="W6">
        <f>'BCDTRtSY-state-adjusted'!W17</f>
        <v>1.2086681658094072</v>
      </c>
      <c r="X6">
        <f>'BCDTRtSY-state-adjusted'!X17</f>
        <v>1.2179565759644515</v>
      </c>
      <c r="Y6">
        <f>'BCDTRtSY-state-adjusted'!Y17</f>
        <v>1.2273516129926925</v>
      </c>
      <c r="Z6">
        <f>'BCDTRtSY-state-adjusted'!Z17</f>
        <v>1.2359584565998651</v>
      </c>
      <c r="AA6">
        <f>'BCDTRtSY-state-adjusted'!AA17</f>
        <v>1.2442118046679109</v>
      </c>
      <c r="AB6">
        <f>'BCDTRtSY-state-adjusted'!AB17</f>
        <v>1.2537290415488265</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2026-08-14T21:48:33Z</dcterms:modified>
</cp:coreProperties>
</file>