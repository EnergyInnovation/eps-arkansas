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A6C33D1B-7C1D-42CB-A65C-ACB01F65D6D2}"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Y45" i="9" s="1"/>
  <c r="X25" i="9"/>
  <c r="X45" i="9" s="1"/>
  <c r="W25" i="9"/>
  <c r="W45" i="9" s="1"/>
  <c r="V25" i="9"/>
  <c r="V45" i="9" s="1"/>
  <c r="U25" i="9"/>
  <c r="U45" i="9" s="1"/>
  <c r="T25" i="9"/>
  <c r="S25" i="9"/>
  <c r="R25" i="9"/>
  <c r="Q25" i="9"/>
  <c r="P25" i="9"/>
  <c r="P45" i="9" s="1"/>
  <c r="O25" i="9"/>
  <c r="N25" i="9"/>
  <c r="M25" i="9"/>
  <c r="L25" i="9"/>
  <c r="K25" i="9"/>
  <c r="K45" i="9" s="1"/>
  <c r="J25" i="9"/>
  <c r="I25" i="9"/>
  <c r="H25" i="9"/>
  <c r="G25" i="9"/>
  <c r="F25" i="9"/>
  <c r="F45" i="9" s="1"/>
  <c r="E25" i="9"/>
  <c r="E45" i="9" s="1"/>
  <c r="D25" i="9"/>
  <c r="D45" i="9" s="1"/>
  <c r="C25" i="9"/>
  <c r="C45" i="9" s="1"/>
  <c r="B25" i="9"/>
  <c r="B45" i="9" s="1"/>
  <c r="AB24" i="9"/>
  <c r="AA24" i="9"/>
  <c r="AA44" i="9" s="1"/>
  <c r="Z24" i="9"/>
  <c r="Z44" i="9" s="1"/>
  <c r="Y24" i="9"/>
  <c r="X24" i="9"/>
  <c r="W24" i="9"/>
  <c r="V24" i="9"/>
  <c r="U24" i="9"/>
  <c r="U44" i="9" s="1"/>
  <c r="T24" i="9"/>
  <c r="S24" i="9"/>
  <c r="R24" i="9"/>
  <c r="Q24" i="9"/>
  <c r="P24" i="9"/>
  <c r="P44" i="9" s="1"/>
  <c r="O24" i="9"/>
  <c r="N24" i="9"/>
  <c r="M24" i="9"/>
  <c r="L24" i="9"/>
  <c r="K24" i="9"/>
  <c r="J24" i="9"/>
  <c r="J44" i="9" s="1"/>
  <c r="I24" i="9"/>
  <c r="I44" i="9" s="1"/>
  <c r="H24" i="9"/>
  <c r="G24" i="9"/>
  <c r="G44" i="9" s="1"/>
  <c r="F24" i="9"/>
  <c r="E24" i="9"/>
  <c r="E44" i="9" s="1"/>
  <c r="D24" i="9"/>
  <c r="D44" i="9" s="1"/>
  <c r="C24" i="9"/>
  <c r="B24" i="9"/>
  <c r="AB23" i="9"/>
  <c r="AA23" i="9"/>
  <c r="Z23" i="9"/>
  <c r="Z43" i="9" s="1"/>
  <c r="Y23" i="9"/>
  <c r="X23" i="9"/>
  <c r="W23" i="9"/>
  <c r="V23" i="9"/>
  <c r="U23" i="9"/>
  <c r="U43" i="9" s="1"/>
  <c r="T23" i="9"/>
  <c r="S23" i="9"/>
  <c r="R23" i="9"/>
  <c r="Q23" i="9"/>
  <c r="P23" i="9"/>
  <c r="P43" i="9" s="1"/>
  <c r="O23" i="9"/>
  <c r="O43" i="9" s="1"/>
  <c r="N23" i="9"/>
  <c r="N43" i="9" s="1"/>
  <c r="M23" i="9"/>
  <c r="L23" i="9"/>
  <c r="L43" i="9" s="1"/>
  <c r="K23" i="9"/>
  <c r="J23" i="9"/>
  <c r="J43" i="9" s="1"/>
  <c r="I23" i="9"/>
  <c r="I43" i="9" s="1"/>
  <c r="H23" i="9"/>
  <c r="G23" i="9"/>
  <c r="F23" i="9"/>
  <c r="E23" i="9"/>
  <c r="D23" i="9"/>
  <c r="D43" i="9" s="1"/>
  <c r="C23" i="9"/>
  <c r="B23" i="9"/>
  <c r="AB22" i="9"/>
  <c r="AA22" i="9"/>
  <c r="Z22" i="9"/>
  <c r="Y22" i="9"/>
  <c r="X22" i="9"/>
  <c r="W22" i="9"/>
  <c r="V22" i="9"/>
  <c r="U22" i="9"/>
  <c r="U42" i="9" s="1"/>
  <c r="T22" i="9"/>
  <c r="T42" i="9" s="1"/>
  <c r="S22" i="9"/>
  <c r="S42" i="9" s="1"/>
  <c r="R22" i="9"/>
  <c r="Q22" i="9"/>
  <c r="Q42" i="9" s="1"/>
  <c r="P22" i="9"/>
  <c r="O22" i="9"/>
  <c r="O42" i="9" s="1"/>
  <c r="N22" i="9"/>
  <c r="N42" i="9" s="1"/>
  <c r="M22" i="9"/>
  <c r="L22" i="9"/>
  <c r="K22" i="9"/>
  <c r="J22" i="9"/>
  <c r="I22" i="9"/>
  <c r="I42" i="9" s="1"/>
  <c r="H22" i="9"/>
  <c r="G22" i="9"/>
  <c r="F22" i="9"/>
  <c r="E22" i="9"/>
  <c r="D22" i="9"/>
  <c r="C22" i="9"/>
  <c r="B22" i="9"/>
  <c r="AB21" i="9"/>
  <c r="AA21" i="9"/>
  <c r="Z21" i="9"/>
  <c r="Z41" i="9" s="1"/>
  <c r="Y21" i="9"/>
  <c r="Y41" i="9" s="1"/>
  <c r="X21" i="9"/>
  <c r="X41" i="9" s="1"/>
  <c r="W21" i="9"/>
  <c r="V21" i="9"/>
  <c r="V41" i="9" s="1"/>
  <c r="U21" i="9"/>
  <c r="T21" i="9"/>
  <c r="T41" i="9" s="1"/>
  <c r="S21" i="9"/>
  <c r="S41" i="9" s="1"/>
  <c r="R21" i="9"/>
  <c r="Q21" i="9"/>
  <c r="P21" i="9"/>
  <c r="O21" i="9"/>
  <c r="N21" i="9"/>
  <c r="M21" i="9"/>
  <c r="L21" i="9"/>
  <c r="K21" i="9"/>
  <c r="J21" i="9"/>
  <c r="I21" i="9"/>
  <c r="H21" i="9"/>
  <c r="G21" i="9"/>
  <c r="F21" i="9"/>
  <c r="E21" i="9"/>
  <c r="D21" i="9"/>
  <c r="D41" i="9" s="1"/>
  <c r="C21" i="9"/>
  <c r="C41" i="9" s="1"/>
  <c r="B21" i="9"/>
  <c r="B41" i="9" s="1"/>
  <c r="AB20" i="9"/>
  <c r="AA20" i="9"/>
  <c r="AA40" i="9" s="1"/>
  <c r="Z20" i="9"/>
  <c r="Y20" i="9"/>
  <c r="Y40" i="9" s="1"/>
  <c r="X20" i="9"/>
  <c r="X40" i="9" s="1"/>
  <c r="W20" i="9"/>
  <c r="V20" i="9"/>
  <c r="U20" i="9"/>
  <c r="T20" i="9"/>
  <c r="S20" i="9"/>
  <c r="R20" i="9"/>
  <c r="Q20" i="9"/>
  <c r="P20" i="9"/>
  <c r="O20" i="9"/>
  <c r="N20" i="9"/>
  <c r="M20" i="9"/>
  <c r="L20" i="9"/>
  <c r="K20" i="9"/>
  <c r="J20" i="9"/>
  <c r="I20" i="9"/>
  <c r="I40" i="9" s="1"/>
  <c r="H20" i="9"/>
  <c r="H40" i="9" s="1"/>
  <c r="G20" i="9"/>
  <c r="G40" i="9" s="1"/>
  <c r="F20" i="9"/>
  <c r="E20" i="9"/>
  <c r="E40" i="9" s="1"/>
  <c r="D20" i="9"/>
  <c r="C20" i="9"/>
  <c r="C40" i="9" s="1"/>
  <c r="B20" i="9"/>
  <c r="B40" i="9" s="1"/>
  <c r="AB19" i="9"/>
  <c r="AA19" i="9"/>
  <c r="Z19" i="9"/>
  <c r="Y19" i="9"/>
  <c r="X19" i="9"/>
  <c r="W19" i="9"/>
  <c r="V19" i="9"/>
  <c r="U19" i="9"/>
  <c r="T19" i="9"/>
  <c r="S19" i="9"/>
  <c r="R19" i="9"/>
  <c r="Q19" i="9"/>
  <c r="P19" i="9"/>
  <c r="O19" i="9"/>
  <c r="N19" i="9"/>
  <c r="N39" i="9" s="1"/>
  <c r="M19" i="9"/>
  <c r="M39" i="9" s="1"/>
  <c r="L19" i="9"/>
  <c r="L39" i="9" s="1"/>
  <c r="K19" i="9"/>
  <c r="J19" i="9"/>
  <c r="J39" i="9" s="1"/>
  <c r="I19" i="9"/>
  <c r="H19" i="9"/>
  <c r="H39" i="9" s="1"/>
  <c r="G19" i="9"/>
  <c r="G39" i="9" s="1"/>
  <c r="F19" i="9"/>
  <c r="E19" i="9"/>
  <c r="D19" i="9"/>
  <c r="C19" i="9"/>
  <c r="B19" i="9"/>
  <c r="AB18" i="9"/>
  <c r="AA18" i="9"/>
  <c r="Z18" i="9"/>
  <c r="Y18" i="9"/>
  <c r="X18" i="9"/>
  <c r="W18" i="9"/>
  <c r="V18" i="9"/>
  <c r="U18" i="9"/>
  <c r="T18" i="9"/>
  <c r="S18" i="9"/>
  <c r="S38" i="9" s="1"/>
  <c r="R18" i="9"/>
  <c r="R38" i="9" s="1"/>
  <c r="Q18" i="9"/>
  <c r="Q38" i="9" s="1"/>
  <c r="P18" i="9"/>
  <c r="O18" i="9"/>
  <c r="O38" i="9" s="1"/>
  <c r="N18" i="9"/>
  <c r="M18" i="9"/>
  <c r="M38" i="9" s="1"/>
  <c r="L18" i="9"/>
  <c r="L38" i="9" s="1"/>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M15" i="9" s="1"/>
  <c r="L13" i="9"/>
  <c r="K13" i="9"/>
  <c r="J13" i="9"/>
  <c r="I13" i="9"/>
  <c r="H13" i="9"/>
  <c r="G13" i="9"/>
  <c r="G15" i="9" s="1"/>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AA41" i="9" l="1"/>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Y55" i="9" s="1"/>
  <c r="Y9" i="10" s="1"/>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S51" i="9" s="1"/>
  <c r="S5" i="10" s="1"/>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G51" i="9" s="1"/>
  <c r="G5" i="10" s="1"/>
  <c r="F15" i="9"/>
  <c r="AB15" i="9"/>
  <c r="AA61" i="9"/>
  <c r="AA5" i="11" s="1"/>
  <c r="F6" i="9"/>
  <c r="C50" i="9" s="1"/>
  <c r="F10" i="9"/>
  <c r="F11" i="9"/>
  <c r="D55" i="9" s="1"/>
  <c r="D9" i="10" s="1"/>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G53" i="9" s="1"/>
  <c r="G7" i="10" s="1"/>
  <c r="N15" i="9"/>
  <c r="O15" i="9"/>
  <c r="P15" i="9"/>
  <c r="F5" i="9"/>
  <c r="G49" i="9" s="1"/>
  <c r="G3" i="10" s="1"/>
  <c r="L48" i="9" l="1"/>
  <c r="W58" i="9"/>
  <c r="W2" i="11" s="1"/>
  <c r="I53" i="9"/>
  <c r="I7" i="10" s="1"/>
  <c r="L53" i="9"/>
  <c r="L7" i="10" s="1"/>
  <c r="M63" i="9"/>
  <c r="M7" i="11" s="1"/>
  <c r="T58" i="9"/>
  <c r="T2" i="11" s="1"/>
  <c r="T59" i="9"/>
  <c r="T3" i="11" s="1"/>
  <c r="S59" i="9"/>
  <c r="S3" i="11" s="1"/>
  <c r="T63" i="9"/>
  <c r="T7" i="11" s="1"/>
  <c r="K48" i="9"/>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B64" i="9"/>
  <c r="W60" i="9"/>
  <c r="U50" i="9"/>
  <c r="U4" i="10" s="1"/>
  <c r="B63" i="9"/>
  <c r="B7" i="11" s="1"/>
  <c r="B60" i="9"/>
  <c r="B4" i="11" s="1"/>
  <c r="R54" i="9"/>
  <c r="R8" i="10" s="1"/>
  <c r="I64" i="9"/>
  <c r="I8" i="11" s="1"/>
  <c r="S63" i="9"/>
  <c r="S7" i="11" s="1"/>
  <c r="V50" i="9"/>
  <c r="T54" i="9"/>
  <c r="T8" i="10" s="1"/>
  <c r="G60" i="9"/>
  <c r="G4" i="11" s="1"/>
  <c r="Q48" i="9"/>
  <c r="Q2" i="10" s="1"/>
  <c r="R60" i="9"/>
  <c r="R4" i="11" s="1"/>
  <c r="S64" i="9"/>
  <c r="S8" i="11" s="1"/>
  <c r="Z58" i="9"/>
  <c r="Z2" i="11" s="1"/>
  <c r="R50" i="9"/>
  <c r="R4" i="10" s="1"/>
  <c r="T50" i="9"/>
  <c r="T4" i="10" s="1"/>
  <c r="M61" i="9"/>
  <c r="M5" i="11" s="1"/>
  <c r="U63" i="9"/>
  <c r="U7" i="11" s="1"/>
  <c r="T48" i="9"/>
  <c r="T2" i="10" s="1"/>
  <c r="V58" i="9"/>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R68" i="9" s="1"/>
  <c r="Y50" i="9"/>
  <c r="Y4" i="10" s="1"/>
  <c r="Y53" i="9"/>
  <c r="Y7" i="10" s="1"/>
  <c r="G58" i="9"/>
  <c r="G2" i="11" s="1"/>
  <c r="J50" i="9"/>
  <c r="J4" i="10" s="1"/>
  <c r="AA58" i="9"/>
  <c r="K53" i="9"/>
  <c r="K7" i="10" s="1"/>
  <c r="Z50" i="9"/>
  <c r="Z4" i="10" s="1"/>
  <c r="L54" i="9"/>
  <c r="B50" i="9"/>
  <c r="B4" i="10" s="1"/>
  <c r="M54" i="9"/>
  <c r="K64" i="9"/>
  <c r="K8" i="11" s="1"/>
  <c r="D53" i="9"/>
  <c r="D7" i="10" s="1"/>
  <c r="G64" i="9"/>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X48" i="9"/>
  <c r="X2" i="10" s="1"/>
  <c r="T61" i="9"/>
  <c r="T5" i="11" s="1"/>
  <c r="B48" i="9"/>
  <c r="W64" i="9"/>
  <c r="W8" i="11" s="1"/>
  <c r="J54" i="9"/>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60" i="9"/>
  <c r="F4" i="11" s="1"/>
  <c r="H62" i="9"/>
  <c r="H6" i="11" s="1"/>
  <c r="AA60" i="9"/>
  <c r="V61" i="9"/>
  <c r="V5" i="11" s="1"/>
  <c r="H58" i="9"/>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Z49" i="9"/>
  <c r="Z3" i="10" s="1"/>
  <c r="C64" i="9"/>
  <c r="K61" i="9"/>
  <c r="K5" i="11" s="1"/>
  <c r="Q64" i="9"/>
  <c r="S48" i="9"/>
  <c r="S2" i="10" s="1"/>
  <c r="T49" i="9"/>
  <c r="T3" i="10" s="1"/>
  <c r="S58" i="9"/>
  <c r="S71" i="9" s="1"/>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N60" i="9"/>
  <c r="N4" i="11" s="1"/>
  <c r="D48" i="9"/>
  <c r="Q58" i="9"/>
  <c r="Q2" i="11" s="1"/>
  <c r="I58" i="9"/>
  <c r="I2" i="11" s="1"/>
  <c r="U54" i="9"/>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Y68" i="9" s="1"/>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V73" i="9" s="1"/>
  <c r="AB51" i="9"/>
  <c r="AB5" i="10" s="1"/>
  <c r="W65" i="9"/>
  <c r="W9" i="11" s="1"/>
  <c r="Q50" i="9"/>
  <c r="Q4" i="10" s="1"/>
  <c r="Z61" i="9"/>
  <c r="Z5" i="11" s="1"/>
  <c r="J64" i="9"/>
  <c r="J73" i="9" s="1"/>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I4" i="11"/>
  <c r="S62" i="9"/>
  <c r="S6" i="11" s="1"/>
  <c r="AB62" i="9"/>
  <c r="AB6" i="11" s="1"/>
  <c r="AA49" i="9"/>
  <c r="AA3" i="10" s="1"/>
  <c r="H53" i="9"/>
  <c r="H7" i="10" s="1"/>
  <c r="R62" i="9"/>
  <c r="R6" i="11" s="1"/>
  <c r="AA4" i="11"/>
  <c r="AB49" i="9"/>
  <c r="AB3" i="10" s="1"/>
  <c r="S52" i="9"/>
  <c r="S6" i="10" s="1"/>
  <c r="L2" i="10"/>
  <c r="G62" i="9"/>
  <c r="G6" i="11" s="1"/>
  <c r="Z62" i="9"/>
  <c r="Z6" i="11" s="1"/>
  <c r="O4" i="10"/>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K2" i="10"/>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B8" i="11"/>
  <c r="D62" i="9"/>
  <c r="D6" i="11" s="1"/>
  <c r="D8" i="11"/>
  <c r="Q62" i="9"/>
  <c r="Q6" i="11" s="1"/>
  <c r="M62" i="9"/>
  <c r="M6" i="11" s="1"/>
  <c r="V2" i="11"/>
  <c r="L8" i="10"/>
  <c r="AB52" i="9"/>
  <c r="AB6" i="10" s="1"/>
  <c r="M4" i="11"/>
  <c r="U49" i="9"/>
  <c r="U3" i="10" s="1"/>
  <c r="U53" i="9"/>
  <c r="U7" i="10" s="1"/>
  <c r="Y52" i="9"/>
  <c r="Y6" i="10" s="1"/>
  <c r="K59" i="9"/>
  <c r="K3" i="11" s="1"/>
  <c r="O52" i="9"/>
  <c r="O6" i="10" s="1"/>
  <c r="D63" i="9"/>
  <c r="D7" i="11" s="1"/>
  <c r="N61" i="9"/>
  <c r="N5" i="11" s="1"/>
  <c r="G63" i="9"/>
  <c r="G7" i="11" s="1"/>
  <c r="B52" i="9"/>
  <c r="B6" i="10" s="1"/>
  <c r="W4" i="11"/>
  <c r="M52" i="9"/>
  <c r="M6" i="10" s="1"/>
  <c r="I4" i="10"/>
  <c r="H59" i="9"/>
  <c r="H3" i="11" s="1"/>
  <c r="G59" i="9"/>
  <c r="G3" i="11" s="1"/>
  <c r="U8" i="10"/>
  <c r="Z59" i="9"/>
  <c r="Z3" i="11" s="1"/>
  <c r="Z53" i="9"/>
  <c r="Z7" i="10" s="1"/>
  <c r="R59" i="9"/>
  <c r="R3" i="11" s="1"/>
  <c r="Z2" i="10"/>
  <c r="Z68" i="9"/>
  <c r="Z52" i="9"/>
  <c r="Z6" i="10" s="1"/>
  <c r="C52" i="9"/>
  <c r="C6" i="10" s="1"/>
  <c r="N63" i="9"/>
  <c r="N7" i="11" s="1"/>
  <c r="C4" i="10"/>
  <c r="H63" i="9"/>
  <c r="H7" i="11" s="1"/>
  <c r="X59" i="9"/>
  <c r="X3" i="11" s="1"/>
  <c r="L62" i="9"/>
  <c r="L6" i="11" s="1"/>
  <c r="W63" i="9"/>
  <c r="W7" i="11" s="1"/>
  <c r="O58" i="9"/>
  <c r="H49" i="9"/>
  <c r="H3" i="10" s="1"/>
  <c r="E63" i="9"/>
  <c r="E7" i="11" s="1"/>
  <c r="T71" i="9"/>
  <c r="U2" i="10"/>
  <c r="D2" i="10"/>
  <c r="V52" i="9"/>
  <c r="V6" i="10" s="1"/>
  <c r="J52" i="9"/>
  <c r="J6" i="10" s="1"/>
  <c r="V8" i="11"/>
  <c r="X49" i="9"/>
  <c r="X3" i="10" s="1"/>
  <c r="L52" i="9"/>
  <c r="L6" i="10" s="1"/>
  <c r="G8" i="11"/>
  <c r="V4" i="10"/>
  <c r="K52" i="9"/>
  <c r="K6" i="10" s="1"/>
  <c r="E49" i="9"/>
  <c r="E3" i="10" s="1"/>
  <c r="F63" i="9"/>
  <c r="F7" i="11" s="1"/>
  <c r="Y59" i="9"/>
  <c r="Y3" i="11" s="1"/>
  <c r="H52" i="9"/>
  <c r="H6" i="10" s="1"/>
  <c r="F62" i="9"/>
  <c r="F6" i="11" s="1"/>
  <c r="P55" i="9"/>
  <c r="P9" i="10" s="1"/>
  <c r="P54" i="9"/>
  <c r="P53" i="9"/>
  <c r="P7" i="10" s="1"/>
  <c r="P59" i="9"/>
  <c r="P3" i="11" s="1"/>
  <c r="P48" i="9"/>
  <c r="B49" i="9"/>
  <c r="B3" i="10" s="1"/>
  <c r="AB73" i="9"/>
  <c r="J8" i="10"/>
  <c r="X53" i="9"/>
  <c r="X7" i="10" s="1"/>
  <c r="I59" i="9"/>
  <c r="I3" i="11" s="1"/>
  <c r="B53" i="9"/>
  <c r="B7" i="10" s="1"/>
  <c r="N54" i="9"/>
  <c r="R53" i="9"/>
  <c r="R7" i="10" s="1"/>
  <c r="U59" i="9"/>
  <c r="U3" i="11" s="1"/>
  <c r="P62" i="9"/>
  <c r="P6" i="11" s="1"/>
  <c r="H2" i="11"/>
  <c r="C8" i="1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B2" i="10"/>
  <c r="P51" i="9"/>
  <c r="P5" i="10" s="1"/>
  <c r="N58" i="9"/>
  <c r="G52" i="9"/>
  <c r="G6" i="10" s="1"/>
  <c r="E53" i="9"/>
  <c r="E7" i="10" s="1"/>
  <c r="V53" i="9"/>
  <c r="V7" i="10" s="1"/>
  <c r="AA2" i="11"/>
  <c r="P63" i="9"/>
  <c r="P7" i="11" s="1"/>
  <c r="S53" i="9"/>
  <c r="S7" i="10" s="1"/>
  <c r="W52" i="9"/>
  <c r="W6" i="10" s="1"/>
  <c r="F2" i="11"/>
  <c r="O59" i="9"/>
  <c r="O3" i="11" s="1"/>
  <c r="B71" i="9" l="1"/>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<sst xmlns="http://schemas.openxmlformats.org/spreadsheetml/2006/main" count="5677" uniqueCount="335">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</sst>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46</v>
      </c>
    </row>
    <row r="2" spans="1:2" x14ac:dyDescent="0.25">
      <c r="A2" s="3" t="s">
        <v>2</v>
      </c>
      <c r="B2" s="4" t="str">
        <f>IFERROR(INDEX(Geography!B:B, MATCH($B$1, Geography!C:C, 0)), "")</f>
        <v>AR</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1524533</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3088354</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0.99572643690316953</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1563821</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3088354</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1.0042016590280369</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2415105</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3088354</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1.0406292813294269</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480352</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3088354</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1.1385323346495975</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61173</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3088354</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0.30675922502449504</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131724</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3088354</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0.90085945667555045</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295575</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3088354</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0.49045033092486984</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2792779</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3088354</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1.1235411383434795</v>
      </c>
    </row>
    <row r="12" spans="1:28" x14ac:dyDescent="0.25">
      <c r="A12" s="4" t="s">
        <v>319</v>
      </c>
    </row>
    <row r="13" spans="1:28" x14ac:dyDescent="0.25">
      <c r="A13" s="4" t="s">
        <v>320</v>
      </c>
      <c r="B13" s="37">
        <f>INDEX(Census_pop_2020_2025!G:G, MATCH("."&amp;About!$B$1, Census_pop_2020_2025!A:A, 0))</f>
        <v>3096080</v>
      </c>
      <c r="C13" s="37">
        <f>INDEX(Census_pop_2020_2025!H:H, MATCH("."&amp;About!$B$1, Census_pop_2020_2025!A:A, 0))</f>
        <v>3114791</v>
      </c>
      <c r="D13" s="37">
        <f>INDEX(Census_pop_2020_2025!H:H, MATCH("."&amp;About!$B$1, Census_pop_2020_2025!A:A, 0))+0.2*(INDEX(Cooper_pop_2030_2050!D:D, MATCH(About!$B$1, Cooper_pop_2030_2050!B:B, 0))-INDEX(Census_pop_2020_2025!H:H, MATCH("."&amp;About!$B$1, Census_pop_2020_2025!A:A, 0)))</f>
        <v>3108791.9692826066</v>
      </c>
      <c r="E13" s="37">
        <f>INDEX(Census_pop_2020_2025!H:H, MATCH("."&amp;About!$B$1, Census_pop_2020_2025!A:A, 0))+0.4*(INDEX(Cooper_pop_2030_2050!D:D, MATCH(About!$B$1, Cooper_pop_2030_2050!B:B, 0))-INDEX(Census_pop_2020_2025!H:H, MATCH("."&amp;About!$B$1, Census_pop_2020_2025!A:A, 0)))</f>
        <v>3102792.9385652137</v>
      </c>
      <c r="F13" s="37">
        <f>INDEX(Census_pop_2020_2025!H:H, MATCH("."&amp;About!$B$1, Census_pop_2020_2025!A:A, 0))+0.6*(INDEX(Cooper_pop_2030_2050!D:D, MATCH(About!$B$1, Cooper_pop_2030_2050!B:B, 0))-INDEX(Census_pop_2020_2025!H:H, MATCH("."&amp;About!$B$1, Census_pop_2020_2025!A:A, 0)))</f>
        <v>3096793.9078478203</v>
      </c>
      <c r="G13" s="37">
        <f>INDEX(Census_pop_2020_2025!H:H, MATCH("."&amp;About!$B$1, Census_pop_2020_2025!A:A, 0))+0.8*(INDEX(Cooper_pop_2030_2050!D:D, MATCH(About!$B$1, Cooper_pop_2030_2050!B:B, 0))-INDEX(Census_pop_2020_2025!H:H, MATCH("."&amp;About!$B$1, Census_pop_2020_2025!A:A, 0)))</f>
        <v>3090794.8771304274</v>
      </c>
      <c r="H13" s="37">
        <f>INDEX(Cooper_pop_2030_2050!D:D, MATCH(About!$B$1, Cooper_pop_2030_2050!B:B, 0))</f>
        <v>3084795.846413034</v>
      </c>
      <c r="I13" s="37">
        <f>INDEX(Cooper_pop_2030_2050!D:D, MATCH(About!$B$1, Cooper_pop_2030_2050!B:B, 0))+0.1*(INDEX(Cooper_pop_2030_2050!E:E, MATCH(About!$B$1, Cooper_pop_2030_2050!B:B, 0))-INDEX(Cooper_pop_2030_2050!D:D, MATCH(About!$B$1, Cooper_pop_2030_2050!B:B, 0)))</f>
        <v>3082627.9538537622</v>
      </c>
      <c r="J13" s="37">
        <f>INDEX(Cooper_pop_2030_2050!D:D, MATCH(About!$B$1, Cooper_pop_2030_2050!B:B, 0))+0.2*(INDEX(Cooper_pop_2030_2050!E:E, MATCH(About!$B$1, Cooper_pop_2030_2050!B:B, 0))-INDEX(Cooper_pop_2030_2050!D:D, MATCH(About!$B$1, Cooper_pop_2030_2050!B:B, 0)))</f>
        <v>3080460.0612944905</v>
      </c>
      <c r="K13" s="37">
        <f>INDEX(Cooper_pop_2030_2050!D:D, MATCH(About!$B$1, Cooper_pop_2030_2050!B:B, 0))+0.3*(INDEX(Cooper_pop_2030_2050!E:E, MATCH(About!$B$1, Cooper_pop_2030_2050!B:B, 0))-INDEX(Cooper_pop_2030_2050!D:D, MATCH(About!$B$1, Cooper_pop_2030_2050!B:B, 0)))</f>
        <v>3078292.1687352187</v>
      </c>
      <c r="L13" s="37">
        <f>INDEX(Cooper_pop_2030_2050!D:D, MATCH(About!$B$1, Cooper_pop_2030_2050!B:B, 0))+0.4*(INDEX(Cooper_pop_2030_2050!E:E, MATCH(About!$B$1, Cooper_pop_2030_2050!B:B, 0))-INDEX(Cooper_pop_2030_2050!D:D, MATCH(About!$B$1, Cooper_pop_2030_2050!B:B, 0)))</f>
        <v>3076124.2761759469</v>
      </c>
      <c r="M13" s="37">
        <f>INDEX(Cooper_pop_2030_2050!D:D, MATCH(About!$B$1, Cooper_pop_2030_2050!B:B, 0))+0.5*(INDEX(Cooper_pop_2030_2050!E:E, MATCH(About!$B$1, Cooper_pop_2030_2050!B:B, 0))-INDEX(Cooper_pop_2030_2050!D:D, MATCH(About!$B$1, Cooper_pop_2030_2050!B:B, 0)))</f>
        <v>3073956.3836166747</v>
      </c>
      <c r="N13" s="37">
        <f>INDEX(Cooper_pop_2030_2050!D:D, MATCH(About!$B$1, Cooper_pop_2030_2050!B:B, 0))+0.6*(INDEX(Cooper_pop_2030_2050!E:E, MATCH(About!$B$1, Cooper_pop_2030_2050!B:B, 0))-INDEX(Cooper_pop_2030_2050!D:D, MATCH(About!$B$1, Cooper_pop_2030_2050!B:B, 0)))</f>
        <v>3071788.4910574029</v>
      </c>
      <c r="O13" s="37">
        <f>INDEX(Cooper_pop_2030_2050!D:D, MATCH(About!$B$1, Cooper_pop_2030_2050!B:B, 0))+0.7*(INDEX(Cooper_pop_2030_2050!E:E, MATCH(About!$B$1, Cooper_pop_2030_2050!B:B, 0))-INDEX(Cooper_pop_2030_2050!D:D, MATCH(About!$B$1, Cooper_pop_2030_2050!B:B, 0)))</f>
        <v>3069620.5984981311</v>
      </c>
      <c r="P13" s="37">
        <f>INDEX(Cooper_pop_2030_2050!D:D, MATCH(About!$B$1, Cooper_pop_2030_2050!B:B, 0))+0.8*(INDEX(Cooper_pop_2030_2050!E:E, MATCH(About!$B$1, Cooper_pop_2030_2050!B:B, 0))-INDEX(Cooper_pop_2030_2050!D:D, MATCH(About!$B$1, Cooper_pop_2030_2050!B:B, 0)))</f>
        <v>3067452.7059388594</v>
      </c>
      <c r="Q13" s="37">
        <f>INDEX(Cooper_pop_2030_2050!D:D, MATCH(About!$B$1, Cooper_pop_2030_2050!B:B, 0))+0.9*(INDEX(Cooper_pop_2030_2050!E:E, MATCH(About!$B$1, Cooper_pop_2030_2050!B:B, 0))-INDEX(Cooper_pop_2030_2050!D:D, MATCH(About!$B$1, Cooper_pop_2030_2050!B:B, 0)))</f>
        <v>3065284.8133795876</v>
      </c>
      <c r="R13" s="37">
        <f>INDEX(Cooper_pop_2030_2050!E:E, MATCH(About!$B$1, Cooper_pop_2030_2050!B:B, 0))</f>
        <v>3063116.9208203158</v>
      </c>
      <c r="S13" s="37">
        <f>INDEX(Cooper_pop_2030_2050!E:E, MATCH(About!$B$1, Cooper_pop_2030_2050!B:B, 0))+0.1*(INDEX(Cooper_pop_2030_2050!F:F, MATCH(About!$B$1, Cooper_pop_2030_2050!B:B, 0))-INDEX(Cooper_pop_2030_2050!E:E, MATCH(About!$B$1, Cooper_pop_2030_2050!B:B, 0)))</f>
        <v>3057400.1592046143</v>
      </c>
      <c r="T13" s="37">
        <f>INDEX(Cooper_pop_2030_2050!E:E, MATCH(About!$B$1, Cooper_pop_2030_2050!B:B, 0))+0.2*(INDEX(Cooper_pop_2030_2050!F:F, MATCH(About!$B$1, Cooper_pop_2030_2050!B:B, 0))-INDEX(Cooper_pop_2030_2050!E:E, MATCH(About!$B$1, Cooper_pop_2030_2050!B:B, 0)))</f>
        <v>3051683.3975889129</v>
      </c>
      <c r="U13" s="37">
        <f>INDEX(Cooper_pop_2030_2050!E:E, MATCH(About!$B$1, Cooper_pop_2030_2050!B:B, 0))+0.3*(INDEX(Cooper_pop_2030_2050!F:F, MATCH(About!$B$1, Cooper_pop_2030_2050!B:B, 0))-INDEX(Cooper_pop_2030_2050!E:E, MATCH(About!$B$1, Cooper_pop_2030_2050!B:B, 0)))</f>
        <v>3045966.6359732118</v>
      </c>
      <c r="V13" s="37">
        <f>INDEX(Cooper_pop_2030_2050!E:E, MATCH(About!$B$1, Cooper_pop_2030_2050!B:B, 0))+0.4*(INDEX(Cooper_pop_2030_2050!F:F, MATCH(About!$B$1, Cooper_pop_2030_2050!B:B, 0))-INDEX(Cooper_pop_2030_2050!E:E, MATCH(About!$B$1, Cooper_pop_2030_2050!B:B, 0)))</f>
        <v>3040249.8743575104</v>
      </c>
      <c r="W13" s="37">
        <f>INDEX(Cooper_pop_2030_2050!E:E, MATCH(About!$B$1, Cooper_pop_2030_2050!B:B, 0))+0.5*(INDEX(Cooper_pop_2030_2050!F:F, MATCH(About!$B$1, Cooper_pop_2030_2050!B:B, 0))-INDEX(Cooper_pop_2030_2050!E:E, MATCH(About!$B$1, Cooper_pop_2030_2050!B:B, 0)))</f>
        <v>3034533.1127418089</v>
      </c>
      <c r="X13" s="37">
        <f>INDEX(Cooper_pop_2030_2050!E:E, MATCH(About!$B$1, Cooper_pop_2030_2050!B:B, 0))+0.6*(INDEX(Cooper_pop_2030_2050!F:F, MATCH(About!$B$1, Cooper_pop_2030_2050!B:B, 0))-INDEX(Cooper_pop_2030_2050!E:E, MATCH(About!$B$1, Cooper_pop_2030_2050!B:B, 0)))</f>
        <v>3028816.3511261074</v>
      </c>
      <c r="Y13" s="37">
        <f>INDEX(Cooper_pop_2030_2050!E:E, MATCH(About!$B$1, Cooper_pop_2030_2050!B:B, 0))+0.7*(INDEX(Cooper_pop_2030_2050!F:F, MATCH(About!$B$1, Cooper_pop_2030_2050!B:B, 0))-INDEX(Cooper_pop_2030_2050!E:E, MATCH(About!$B$1, Cooper_pop_2030_2050!B:B, 0)))</f>
        <v>3023099.5895104059</v>
      </c>
      <c r="Z13" s="37">
        <f>INDEX(Cooper_pop_2030_2050!E:E, MATCH(About!$B$1, Cooper_pop_2030_2050!B:B, 0))+0.8*(INDEX(Cooper_pop_2030_2050!F:F, MATCH(About!$B$1, Cooper_pop_2030_2050!B:B, 0))-INDEX(Cooper_pop_2030_2050!E:E, MATCH(About!$B$1, Cooper_pop_2030_2050!B:B, 0)))</f>
        <v>3017382.8278947049</v>
      </c>
      <c r="AA13" s="37">
        <f>INDEX(Cooper_pop_2030_2050!E:E, MATCH(About!$B$1, Cooper_pop_2030_2050!B:B, 0))+0.9*(INDEX(Cooper_pop_2030_2050!F:F, MATCH(About!$B$1, Cooper_pop_2030_2050!B:B, 0))-INDEX(Cooper_pop_2030_2050!E:E, MATCH(About!$B$1, Cooper_pop_2030_2050!B:B, 0)))</f>
        <v>3011666.0662790034</v>
      </c>
      <c r="AB13" s="37">
        <f>INDEX(Cooper_pop_2030_2050!F:F, MATCH(About!$B$1, Cooper_pop_2030_2050!B:B, 0))</f>
        <v>3005949.3046633019</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9.2013196966800326E-3</v>
      </c>
      <c r="C15" s="39">
        <f t="shared" si="1"/>
        <v>9.2149147180520686E-3</v>
      </c>
      <c r="D15" s="39">
        <f t="shared" si="1"/>
        <v>9.1566200918218234E-3</v>
      </c>
      <c r="E15" s="39">
        <f t="shared" si="1"/>
        <v>9.0998868669423336E-3</v>
      </c>
      <c r="F15" s="39">
        <f t="shared" si="1"/>
        <v>9.0447768588958616E-3</v>
      </c>
      <c r="G15" s="39">
        <f t="shared" si="1"/>
        <v>8.9913041195534837E-3</v>
      </c>
      <c r="H15" s="39">
        <f t="shared" si="1"/>
        <v>8.9395310429329286E-3</v>
      </c>
      <c r="I15" s="39">
        <f t="shared" si="1"/>
        <v>8.9006020231473439E-3</v>
      </c>
      <c r="J15" s="39">
        <f t="shared" si="1"/>
        <v>8.8634829811194468E-3</v>
      </c>
      <c r="K15" s="39">
        <f t="shared" si="1"/>
        <v>8.8278639880862413E-3</v>
      </c>
      <c r="L15" s="39">
        <f t="shared" si="1"/>
        <v>8.7937593776386113E-3</v>
      </c>
      <c r="M15" s="39">
        <f t="shared" si="1"/>
        <v>8.7611779242427312E-3</v>
      </c>
      <c r="N15" s="39">
        <f t="shared" si="1"/>
        <v>8.7301206440729695E-3</v>
      </c>
      <c r="O15" s="39">
        <f t="shared" si="1"/>
        <v>8.7005895295726929E-3</v>
      </c>
      <c r="P15" s="39">
        <f t="shared" si="1"/>
        <v>8.6725762609662551E-3</v>
      </c>
      <c r="Q15" s="39">
        <f t="shared" si="1"/>
        <v>8.6460555787937765E-3</v>
      </c>
      <c r="R15" s="39">
        <f t="shared" si="1"/>
        <v>8.6209929563246437E-3</v>
      </c>
      <c r="S15" s="39">
        <f t="shared" si="1"/>
        <v>8.5873935737695774E-3</v>
      </c>
      <c r="T15" s="39">
        <f t="shared" si="1"/>
        <v>8.555191758120851E-3</v>
      </c>
      <c r="U15" s="39">
        <f t="shared" si="1"/>
        <v>8.5243016887439835E-3</v>
      </c>
      <c r="V15" s="39">
        <f t="shared" si="1"/>
        <v>8.4946103482816098E-3</v>
      </c>
      <c r="W15" s="39">
        <f t="shared" si="1"/>
        <v>8.4659922812971855E-3</v>
      </c>
      <c r="X15" s="39">
        <f t="shared" si="1"/>
        <v>8.4383201303350891E-3</v>
      </c>
      <c r="Y15" s="39">
        <f t="shared" si="1"/>
        <v>8.4115104501099325E-3</v>
      </c>
      <c r="Z15" s="39">
        <f t="shared" si="1"/>
        <v>8.3854445226299104E-3</v>
      </c>
      <c r="AA15" s="39">
        <f t="shared" si="1"/>
        <v>8.3600032283378065E-3</v>
      </c>
      <c r="AB15" s="39">
        <f t="shared" si="1"/>
        <v>8.3350705880175981E-3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86.223556368032519</v>
      </c>
      <c r="C48" s="37">
        <f t="shared" si="10"/>
        <v>85.699489414667724</v>
      </c>
      <c r="D48" s="37">
        <f t="shared" si="10"/>
        <v>84.500885254043794</v>
      </c>
      <c r="E48" s="37">
        <f t="shared" si="10"/>
        <v>83.324936929725453</v>
      </c>
      <c r="F48" s="37">
        <f t="shared" si="10"/>
        <v>82.153857967617256</v>
      </c>
      <c r="G48" s="37">
        <f t="shared" si="10"/>
        <v>80.98774537052951</v>
      </c>
      <c r="H48" s="37">
        <f t="shared" si="10"/>
        <v>79.827104060109036</v>
      </c>
      <c r="I48" s="37">
        <f t="shared" si="10"/>
        <v>78.814788222163045</v>
      </c>
      <c r="J48" s="37">
        <f t="shared" si="10"/>
        <v>77.762399728209928</v>
      </c>
      <c r="K48" s="37">
        <f t="shared" si="10"/>
        <v>76.737900849239068</v>
      </c>
      <c r="L48" s="37">
        <f t="shared" si="10"/>
        <v>75.679652435646815</v>
      </c>
      <c r="M48" s="37">
        <f t="shared" si="10"/>
        <v>74.649013038659945</v>
      </c>
      <c r="N48" s="37">
        <f t="shared" si="10"/>
        <v>73.654195420677695</v>
      </c>
      <c r="O48" s="37">
        <f t="shared" si="10"/>
        <v>72.573360533144424</v>
      </c>
      <c r="P48" s="37">
        <f t="shared" si="10"/>
        <v>71.536593495208777</v>
      </c>
      <c r="Q48" s="37">
        <f t="shared" si="10"/>
        <v>70.465533549139522</v>
      </c>
      <c r="R48" s="37">
        <f t="shared" si="10"/>
        <v>69.402857592659984</v>
      </c>
      <c r="S48" s="37">
        <f t="shared" si="10"/>
        <v>68.251645937459145</v>
      </c>
      <c r="T48" s="37">
        <f t="shared" si="10"/>
        <v>67.118290547329508</v>
      </c>
      <c r="U48" s="37">
        <f t="shared" si="10"/>
        <v>66.001696930298706</v>
      </c>
      <c r="V48" s="37">
        <f t="shared" si="10"/>
        <v>64.900598012745007</v>
      </c>
      <c r="W48" s="37">
        <f t="shared" si="10"/>
        <v>63.82210914365988</v>
      </c>
      <c r="X48" s="37">
        <f t="shared" si="10"/>
        <v>62.823686332154338</v>
      </c>
      <c r="Y48" s="37">
        <f t="shared" si="10"/>
        <v>61.836784061416019</v>
      </c>
      <c r="Z48" s="37">
        <f t="shared" si="10"/>
        <v>60.902046560704399</v>
      </c>
      <c r="AA48" s="37">
        <f t="shared" si="10"/>
        <v>59.98473449213526</v>
      </c>
      <c r="AB48" s="37">
        <f t="shared" si="10"/>
        <v>59.075486081879475</v>
      </c>
    </row>
    <row r="49" spans="1:28" x14ac:dyDescent="0.25">
      <c r="A49" s="4" t="s">
        <v>216</v>
      </c>
      <c r="B49" s="37">
        <f t="shared" ref="B49:AB49" si="11">B29*B15*$F$5</f>
        <v>69.336813706919429</v>
      </c>
      <c r="C49" s="37">
        <f t="shared" si="11"/>
        <v>69.059860449559437</v>
      </c>
      <c r="D49" s="37">
        <f t="shared" si="11"/>
        <v>68.245980893917832</v>
      </c>
      <c r="E49" s="37">
        <f t="shared" si="11"/>
        <v>67.439336586981909</v>
      </c>
      <c r="F49" s="37">
        <f t="shared" si="11"/>
        <v>66.631273546244529</v>
      </c>
      <c r="G49" s="37">
        <f t="shared" si="11"/>
        <v>65.840069689763538</v>
      </c>
      <c r="H49" s="37">
        <f t="shared" si="11"/>
        <v>65.056985030069924</v>
      </c>
      <c r="I49" s="37">
        <f t="shared" si="11"/>
        <v>64.32678109159464</v>
      </c>
      <c r="J49" s="37">
        <f t="shared" si="11"/>
        <v>63.640178848009469</v>
      </c>
      <c r="K49" s="37">
        <f t="shared" si="11"/>
        <v>62.914590336833939</v>
      </c>
      <c r="L49" s="37">
        <f t="shared" si="11"/>
        <v>62.221166849607791</v>
      </c>
      <c r="M49" s="37">
        <f t="shared" si="11"/>
        <v>61.489147962478334</v>
      </c>
      <c r="N49" s="37">
        <f t="shared" si="11"/>
        <v>60.727634920747541</v>
      </c>
      <c r="O49" s="37">
        <f t="shared" si="11"/>
        <v>60.024196043616605</v>
      </c>
      <c r="P49" s="37">
        <f t="shared" si="11"/>
        <v>59.24743223771241</v>
      </c>
      <c r="Q49" s="37">
        <f t="shared" si="11"/>
        <v>58.501899054569662</v>
      </c>
      <c r="R49" s="37">
        <f t="shared" si="11"/>
        <v>57.7263124819738</v>
      </c>
      <c r="S49" s="37">
        <f t="shared" si="11"/>
        <v>56.897687215393333</v>
      </c>
      <c r="T49" s="37">
        <f t="shared" si="11"/>
        <v>56.065765000928657</v>
      </c>
      <c r="U49" s="37">
        <f t="shared" si="11"/>
        <v>55.247000912996292</v>
      </c>
      <c r="V49" s="37">
        <f t="shared" si="11"/>
        <v>54.457446720190532</v>
      </c>
      <c r="W49" s="37">
        <f t="shared" si="11"/>
        <v>53.687373465855245</v>
      </c>
      <c r="X49" s="37">
        <f t="shared" si="11"/>
        <v>52.918725338954644</v>
      </c>
      <c r="Y49" s="37">
        <f t="shared" si="11"/>
        <v>52.193103135651221</v>
      </c>
      <c r="Z49" s="37">
        <f t="shared" si="11"/>
        <v>51.467179665622133</v>
      </c>
      <c r="AA49" s="37">
        <f t="shared" si="11"/>
        <v>50.773740865605497</v>
      </c>
      <c r="AB49" s="37">
        <f t="shared" si="11"/>
        <v>50.13684935849237</v>
      </c>
    </row>
    <row r="50" spans="1:28" x14ac:dyDescent="0.25">
      <c r="A50" s="4" t="s">
        <v>217</v>
      </c>
      <c r="B50" s="37">
        <f t="shared" ref="B50:AB50" si="12">B30*B15*$F$6</f>
        <v>94.391953928524558</v>
      </c>
      <c r="C50" s="37">
        <f t="shared" si="12"/>
        <v>93.908113618909212</v>
      </c>
      <c r="D50" s="37">
        <f t="shared" si="12"/>
        <v>92.704206522504833</v>
      </c>
      <c r="E50" s="37">
        <f t="shared" si="12"/>
        <v>91.504829163065878</v>
      </c>
      <c r="F50" s="37">
        <f t="shared" si="12"/>
        <v>90.320043529025341</v>
      </c>
      <c r="G50" s="37">
        <f t="shared" si="12"/>
        <v>89.159178085360153</v>
      </c>
      <c r="H50" s="37">
        <f t="shared" si="12"/>
        <v>87.985293777864825</v>
      </c>
      <c r="I50" s="37">
        <f t="shared" si="12"/>
        <v>86.953787890381435</v>
      </c>
      <c r="J50" s="37">
        <f t="shared" si="12"/>
        <v>85.899386098898134</v>
      </c>
      <c r="K50" s="37">
        <f t="shared" si="12"/>
        <v>84.828452717642506</v>
      </c>
      <c r="L50" s="37">
        <f t="shared" si="12"/>
        <v>83.732048037224189</v>
      </c>
      <c r="M50" s="37">
        <f t="shared" si="12"/>
        <v>82.610390017636732</v>
      </c>
      <c r="N50" s="37">
        <f t="shared" si="12"/>
        <v>81.463573513179512</v>
      </c>
      <c r="O50" s="37">
        <f t="shared" si="12"/>
        <v>80.264492152758393</v>
      </c>
      <c r="P50" s="37">
        <f t="shared" si="12"/>
        <v>79.049421446300187</v>
      </c>
      <c r="Q50" s="37">
        <f t="shared" si="12"/>
        <v>77.808984241290403</v>
      </c>
      <c r="R50" s="37">
        <f t="shared" si="12"/>
        <v>76.542770734675969</v>
      </c>
      <c r="S50" s="37">
        <f t="shared" si="12"/>
        <v>75.181034718225249</v>
      </c>
      <c r="T50" s="37">
        <f t="shared" si="12"/>
        <v>73.839682624071187</v>
      </c>
      <c r="U50" s="37">
        <f t="shared" si="12"/>
        <v>72.517465161076714</v>
      </c>
      <c r="V50" s="37">
        <f t="shared" si="12"/>
        <v>71.221787290175072</v>
      </c>
      <c r="W50" s="37">
        <f t="shared" si="12"/>
        <v>69.968698058535367</v>
      </c>
      <c r="X50" s="37">
        <f t="shared" si="12"/>
        <v>68.765287553692886</v>
      </c>
      <c r="Y50" s="37">
        <f t="shared" si="12"/>
        <v>67.592705184006078</v>
      </c>
      <c r="Z50" s="37">
        <f t="shared" si="12"/>
        <v>66.458275440527672</v>
      </c>
      <c r="AA50" s="37">
        <f t="shared" si="12"/>
        <v>65.377976097897701</v>
      </c>
      <c r="AB50" s="37">
        <f t="shared" si="12"/>
        <v>64.332970231976361</v>
      </c>
    </row>
    <row r="51" spans="1:28" x14ac:dyDescent="0.25">
      <c r="A51" s="4" t="s">
        <v>218</v>
      </c>
      <c r="B51" s="37">
        <f t="shared" ref="B51:AB51" si="13">B31*B15*$F$7</f>
        <v>49.006727981842076</v>
      </c>
      <c r="C51" s="37">
        <f t="shared" si="13"/>
        <v>48.418172666200597</v>
      </c>
      <c r="D51" s="37">
        <f t="shared" si="13"/>
        <v>47.465516954569893</v>
      </c>
      <c r="E51" s="37">
        <f t="shared" si="13"/>
        <v>46.508353808665461</v>
      </c>
      <c r="F51" s="37">
        <f t="shared" si="13"/>
        <v>45.547040750602278</v>
      </c>
      <c r="G51" s="37">
        <f t="shared" si="13"/>
        <v>44.60213178118746</v>
      </c>
      <c r="H51" s="37">
        <f t="shared" si="13"/>
        <v>43.643028798839005</v>
      </c>
      <c r="I51" s="37">
        <f t="shared" si="13"/>
        <v>42.763889909067693</v>
      </c>
      <c r="J51" s="37">
        <f t="shared" si="13"/>
        <v>41.899334906169969</v>
      </c>
      <c r="K51" s="37">
        <f t="shared" si="13"/>
        <v>41.047502307391035</v>
      </c>
      <c r="L51" s="37">
        <f t="shared" si="13"/>
        <v>40.228133207380971</v>
      </c>
      <c r="M51" s="37">
        <f t="shared" si="13"/>
        <v>39.450667629437774</v>
      </c>
      <c r="N51" s="37">
        <f t="shared" si="13"/>
        <v>38.684629893699928</v>
      </c>
      <c r="O51" s="37">
        <f t="shared" si="13"/>
        <v>37.959418418060345</v>
      </c>
      <c r="P51" s="37">
        <f t="shared" si="13"/>
        <v>37.244760053794344</v>
      </c>
      <c r="Q51" s="37">
        <f t="shared" si="13"/>
        <v>36.559924615257621</v>
      </c>
      <c r="R51" s="37">
        <f t="shared" si="13"/>
        <v>35.894476171764346</v>
      </c>
      <c r="S51" s="37">
        <f t="shared" si="13"/>
        <v>35.197290914755783</v>
      </c>
      <c r="T51" s="37">
        <f t="shared" si="13"/>
        <v>34.519844507732067</v>
      </c>
      <c r="U51" s="37">
        <f t="shared" si="13"/>
        <v>33.851713543065856</v>
      </c>
      <c r="V51" s="37">
        <f t="shared" si="13"/>
        <v>33.211548286770253</v>
      </c>
      <c r="W51" s="37">
        <f t="shared" si="13"/>
        <v>32.569525329212404</v>
      </c>
      <c r="X51" s="37">
        <f t="shared" si="13"/>
        <v>31.953880859367935</v>
      </c>
      <c r="Y51" s="37">
        <f t="shared" si="13"/>
        <v>31.373520242150754</v>
      </c>
      <c r="Z51" s="37">
        <f t="shared" si="13"/>
        <v>30.798943727123476</v>
      </c>
      <c r="AA51" s="37">
        <f t="shared" si="13"/>
        <v>30.248629830509138</v>
      </c>
      <c r="AB51" s="37">
        <f t="shared" si="13"/>
        <v>29.702909287020439</v>
      </c>
    </row>
    <row r="52" spans="1:28" x14ac:dyDescent="0.25">
      <c r="A52" s="4" t="s">
        <v>219</v>
      </c>
      <c r="B52" s="37">
        <f t="shared" ref="B52:AB52" si="14">B32*B15*$F$8</f>
        <v>2.4302497311456781</v>
      </c>
      <c r="C52" s="37">
        <f t="shared" si="14"/>
        <v>2.4423207243060663</v>
      </c>
      <c r="D52" s="37">
        <f t="shared" si="14"/>
        <v>2.4352969513439224</v>
      </c>
      <c r="E52" s="37">
        <f t="shared" si="14"/>
        <v>2.431374065752129</v>
      </c>
      <c r="F52" s="37">
        <f t="shared" si="14"/>
        <v>2.4277476472850834</v>
      </c>
      <c r="G52" s="37">
        <f t="shared" si="14"/>
        <v>2.4244274601492495</v>
      </c>
      <c r="H52" s="37">
        <f t="shared" si="14"/>
        <v>2.4214364318794561</v>
      </c>
      <c r="I52" s="37">
        <f t="shared" si="14"/>
        <v>2.4218131578595807</v>
      </c>
      <c r="J52" s="37">
        <f t="shared" si="14"/>
        <v>2.4225890567426482</v>
      </c>
      <c r="K52" s="37">
        <f t="shared" si="14"/>
        <v>2.4291017578994643</v>
      </c>
      <c r="L52" s="37">
        <f t="shared" si="14"/>
        <v>2.430507697374412</v>
      </c>
      <c r="M52" s="37">
        <f t="shared" si="14"/>
        <v>2.4322527960598848</v>
      </c>
      <c r="N52" s="37">
        <f t="shared" si="14"/>
        <v>2.4343429442198681</v>
      </c>
      <c r="O52" s="37">
        <f t="shared" si="14"/>
        <v>2.4367843105306832</v>
      </c>
      <c r="P52" s="37">
        <f t="shared" si="14"/>
        <v>2.4369197798663347</v>
      </c>
      <c r="Q52" s="37">
        <f t="shared" si="14"/>
        <v>2.4400767241599315</v>
      </c>
      <c r="R52" s="37">
        <f t="shared" si="14"/>
        <v>2.4382927270023234</v>
      </c>
      <c r="S52" s="37">
        <f t="shared" si="14"/>
        <v>2.4366925328446434</v>
      </c>
      <c r="T52" s="37">
        <f t="shared" si="14"/>
        <v>2.4380527301074455</v>
      </c>
      <c r="U52" s="37">
        <f t="shared" si="14"/>
        <v>2.4344795155000258</v>
      </c>
      <c r="V52" s="37">
        <f t="shared" si="14"/>
        <v>2.4338172815605437</v>
      </c>
      <c r="W52" s="37">
        <f t="shared" si="14"/>
        <v>2.4334088937038145</v>
      </c>
      <c r="X52" s="37">
        <f t="shared" si="14"/>
        <v>2.4306320585250862</v>
      </c>
      <c r="Y52" s="37">
        <f t="shared" si="14"/>
        <v>2.4332308466243782</v>
      </c>
      <c r="Z52" s="37">
        <f t="shared" si="14"/>
        <v>2.4308352777692162</v>
      </c>
      <c r="AA52" s="37">
        <f t="shared" si="14"/>
        <v>2.4285891816162417</v>
      </c>
      <c r="AB52" s="37">
        <f t="shared" si="14"/>
        <v>2.4264599446053987</v>
      </c>
    </row>
    <row r="53" spans="1:28" x14ac:dyDescent="0.25">
      <c r="A53" s="4" t="s">
        <v>220</v>
      </c>
      <c r="B53" s="37">
        <f t="shared" ref="B53:AB53" si="15">B33*B15*$F$9</f>
        <v>12.582847519501508</v>
      </c>
      <c r="C53" s="37">
        <f t="shared" si="15"/>
        <v>12.709356234376573</v>
      </c>
      <c r="D53" s="37">
        <f t="shared" si="15"/>
        <v>12.711443641191579</v>
      </c>
      <c r="E53" s="37">
        <f t="shared" si="15"/>
        <v>12.731057822498391</v>
      </c>
      <c r="F53" s="37">
        <f t="shared" si="15"/>
        <v>12.743585807363592</v>
      </c>
      <c r="G53" s="37">
        <f t="shared" si="15"/>
        <v>12.741144814026413</v>
      </c>
      <c r="H53" s="37">
        <f t="shared" si="15"/>
        <v>12.772472070137448</v>
      </c>
      <c r="I53" s="37">
        <f t="shared" si="15"/>
        <v>12.789015446739224</v>
      </c>
      <c r="J53" s="37">
        <f t="shared" si="15"/>
        <v>12.815527702511927</v>
      </c>
      <c r="K53" s="37">
        <f t="shared" si="15"/>
        <v>12.819695586531802</v>
      </c>
      <c r="L53" s="37">
        <f t="shared" si="15"/>
        <v>12.833544898021575</v>
      </c>
      <c r="M53" s="37">
        <f t="shared" si="15"/>
        <v>12.825458725090593</v>
      </c>
      <c r="N53" s="37">
        <f t="shared" si="15"/>
        <v>12.835046359894742</v>
      </c>
      <c r="O53" s="37">
        <f t="shared" si="15"/>
        <v>12.830819679374153</v>
      </c>
      <c r="P53" s="37">
        <f t="shared" si="15"/>
        <v>12.812946635027393</v>
      </c>
      <c r="Q53" s="37">
        <f t="shared" si="15"/>
        <v>12.781553607933086</v>
      </c>
      <c r="R53" s="37">
        <f t="shared" si="15"/>
        <v>12.752269576308198</v>
      </c>
      <c r="S53" s="37">
        <f t="shared" si="15"/>
        <v>12.702568992383538</v>
      </c>
      <c r="T53" s="37">
        <f t="shared" si="15"/>
        <v>12.624107603522519</v>
      </c>
      <c r="U53" s="37">
        <f t="shared" si="15"/>
        <v>12.563167580939586</v>
      </c>
      <c r="V53" s="37">
        <f t="shared" si="15"/>
        <v>12.488798502854319</v>
      </c>
      <c r="W53" s="37">
        <f t="shared" si="15"/>
        <v>12.416217468587023</v>
      </c>
      <c r="X53" s="37">
        <f t="shared" si="15"/>
        <v>12.360430033273413</v>
      </c>
      <c r="Y53" s="37">
        <f t="shared" si="15"/>
        <v>12.283271337662841</v>
      </c>
      <c r="Z53" s="37">
        <f t="shared" si="15"/>
        <v>12.23009922755911</v>
      </c>
      <c r="AA53" s="37">
        <f t="shared" si="15"/>
        <v>12.155337377263198</v>
      </c>
      <c r="AB53" s="37">
        <f t="shared" si="15"/>
        <v>12.104068183973517</v>
      </c>
    </row>
    <row r="54" spans="1:28" x14ac:dyDescent="0.25">
      <c r="A54" s="4" t="s">
        <v>221</v>
      </c>
      <c r="B54" s="37">
        <f t="shared" ref="B54:AB54" si="16">B34*B15*$F$10</f>
        <v>17.333627504590002</v>
      </c>
      <c r="C54" s="37">
        <f t="shared" si="16"/>
        <v>17.431549401525793</v>
      </c>
      <c r="D54" s="37">
        <f t="shared" si="16"/>
        <v>17.402110997475887</v>
      </c>
      <c r="E54" s="37">
        <f t="shared" si="16"/>
        <v>17.379087593404279</v>
      </c>
      <c r="F54" s="37">
        <f t="shared" si="16"/>
        <v>17.371430054847007</v>
      </c>
      <c r="G54" s="37">
        <f t="shared" si="16"/>
        <v>17.348106310186452</v>
      </c>
      <c r="H54" s="37">
        <f t="shared" si="16"/>
        <v>17.322748431320743</v>
      </c>
      <c r="I54" s="37">
        <f t="shared" si="16"/>
        <v>17.317157824879178</v>
      </c>
      <c r="J54" s="37">
        <f t="shared" si="16"/>
        <v>17.305797779884436</v>
      </c>
      <c r="K54" s="37">
        <f t="shared" si="16"/>
        <v>17.288207855566334</v>
      </c>
      <c r="L54" s="37">
        <f t="shared" si="16"/>
        <v>17.26023459173981</v>
      </c>
      <c r="M54" s="37">
        <f t="shared" si="16"/>
        <v>17.222065829843938</v>
      </c>
      <c r="N54" s="37">
        <f t="shared" si="16"/>
        <v>17.173860831746399</v>
      </c>
      <c r="O54" s="37">
        <f t="shared" si="16"/>
        <v>17.115767333235762</v>
      </c>
      <c r="P54" s="37">
        <f t="shared" si="16"/>
        <v>17.035138928134092</v>
      </c>
      <c r="Q54" s="37">
        <f t="shared" si="16"/>
        <v>16.944881435977642</v>
      </c>
      <c r="R54" s="37">
        <f t="shared" si="16"/>
        <v>16.832340185203297</v>
      </c>
      <c r="S54" s="37">
        <f t="shared" si="16"/>
        <v>16.703562619468286</v>
      </c>
      <c r="T54" s="37">
        <f t="shared" si="16"/>
        <v>16.561203994252867</v>
      </c>
      <c r="U54" s="37">
        <f t="shared" si="16"/>
        <v>16.405249596196413</v>
      </c>
      <c r="V54" s="37">
        <f t="shared" si="16"/>
        <v>16.252285564387297</v>
      </c>
      <c r="W54" s="37">
        <f t="shared" si="16"/>
        <v>16.081271976950255</v>
      </c>
      <c r="X54" s="37">
        <f t="shared" si="16"/>
        <v>15.933521066435414</v>
      </c>
      <c r="Y54" s="37">
        <f t="shared" si="16"/>
        <v>15.78388784875048</v>
      </c>
      <c r="Z54" s="37">
        <f t="shared" si="16"/>
        <v>15.636272644170864</v>
      </c>
      <c r="AA54" s="37">
        <f t="shared" si="16"/>
        <v>15.494528636163482</v>
      </c>
      <c r="AB54" s="37">
        <f t="shared" si="16"/>
        <v>15.362471485683081</v>
      </c>
    </row>
    <row r="55" spans="1:28" x14ac:dyDescent="0.25">
      <c r="A55" s="4" t="s">
        <v>222</v>
      </c>
      <c r="B55" s="37">
        <f t="shared" ref="B55:AB55" si="17">B35*B15*$F$11</f>
        <v>135.1598122107761</v>
      </c>
      <c r="C55" s="37">
        <f t="shared" si="17"/>
        <v>134.03428490506681</v>
      </c>
      <c r="D55" s="37">
        <f t="shared" si="17"/>
        <v>131.83866141562677</v>
      </c>
      <c r="E55" s="37">
        <f t="shared" si="17"/>
        <v>129.66200131538506</v>
      </c>
      <c r="F55" s="37">
        <f t="shared" si="17"/>
        <v>127.45404761463318</v>
      </c>
      <c r="G55" s="37">
        <f t="shared" si="17"/>
        <v>125.30644921463937</v>
      </c>
      <c r="H55" s="37">
        <f t="shared" si="17"/>
        <v>123.17876836424253</v>
      </c>
      <c r="I55" s="37">
        <f t="shared" si="17"/>
        <v>121.23233402942152</v>
      </c>
      <c r="J55" s="37">
        <f t="shared" si="17"/>
        <v>119.3026833443741</v>
      </c>
      <c r="K55" s="37">
        <f t="shared" si="17"/>
        <v>117.37515450497347</v>
      </c>
      <c r="L55" s="37">
        <f t="shared" si="17"/>
        <v>115.46931797572844</v>
      </c>
      <c r="M55" s="37">
        <f t="shared" si="17"/>
        <v>113.57480857477744</v>
      </c>
      <c r="N55" s="37">
        <f t="shared" si="17"/>
        <v>111.71071127747176</v>
      </c>
      <c r="O55" s="37">
        <f t="shared" si="17"/>
        <v>109.83718388984852</v>
      </c>
      <c r="P55" s="37">
        <f t="shared" si="17"/>
        <v>107.98296593956186</v>
      </c>
      <c r="Q55" s="37">
        <f t="shared" si="17"/>
        <v>106.1470538626844</v>
      </c>
      <c r="R55" s="37">
        <f t="shared" si="17"/>
        <v>104.33802546312675</v>
      </c>
      <c r="S55" s="37">
        <f t="shared" si="17"/>
        <v>102.4069495428493</v>
      </c>
      <c r="T55" s="37">
        <f t="shared" si="17"/>
        <v>100.5234451947515</v>
      </c>
      <c r="U55" s="37">
        <f t="shared" si="17"/>
        <v>98.704721738170718</v>
      </c>
      <c r="V55" s="37">
        <f t="shared" si="17"/>
        <v>96.929312697083063</v>
      </c>
      <c r="W55" s="37">
        <f t="shared" si="17"/>
        <v>95.242560627221678</v>
      </c>
      <c r="X55" s="37">
        <f t="shared" si="17"/>
        <v>93.59445567440109</v>
      </c>
      <c r="Y55" s="37">
        <f t="shared" si="17"/>
        <v>92.01180126410145</v>
      </c>
      <c r="Z55" s="37">
        <f t="shared" si="17"/>
        <v>90.483047658466248</v>
      </c>
      <c r="AA55" s="37">
        <f t="shared" si="17"/>
        <v>88.996851476764263</v>
      </c>
      <c r="AB55" s="37">
        <f t="shared" si="17"/>
        <v>87.560830413533012</v>
      </c>
    </row>
    <row r="57" spans="1:28" x14ac:dyDescent="0.25">
      <c r="A57" s="4" t="s">
        <v>327</v>
      </c>
    </row>
    <row r="58" spans="1:28" x14ac:dyDescent="0.25">
      <c r="A58" s="4" t="s">
        <v>215</v>
      </c>
      <c r="B58" s="37">
        <f t="shared" ref="B58:AB58" si="18">B38*B15*$F$4</f>
        <v>13672.796691441603</v>
      </c>
      <c r="C58" s="37">
        <f t="shared" si="18"/>
        <v>13942.416900949178</v>
      </c>
      <c r="D58" s="37">
        <f t="shared" si="18"/>
        <v>14100.004804357832</v>
      </c>
      <c r="E58" s="37">
        <f t="shared" si="18"/>
        <v>14255.912684301233</v>
      </c>
      <c r="F58" s="37">
        <f t="shared" si="18"/>
        <v>14411.382572592625</v>
      </c>
      <c r="G58" s="37">
        <f t="shared" si="18"/>
        <v>14566.844795416497</v>
      </c>
      <c r="H58" s="37">
        <f t="shared" si="18"/>
        <v>14721.308986289287</v>
      </c>
      <c r="I58" s="37">
        <f t="shared" si="18"/>
        <v>14892.458810658034</v>
      </c>
      <c r="J58" s="37">
        <f t="shared" si="18"/>
        <v>15060.205387471506</v>
      </c>
      <c r="K58" s="37">
        <f t="shared" si="18"/>
        <v>15224.333651198653</v>
      </c>
      <c r="L58" s="37">
        <f t="shared" si="18"/>
        <v>15383.607757613536</v>
      </c>
      <c r="M58" s="37">
        <f t="shared" si="18"/>
        <v>15537.829592746424</v>
      </c>
      <c r="N58" s="37">
        <f t="shared" si="18"/>
        <v>15685.474996669871</v>
      </c>
      <c r="O58" s="37">
        <f t="shared" si="18"/>
        <v>15826.026035699013</v>
      </c>
      <c r="P58" s="37">
        <f t="shared" si="18"/>
        <v>15957.530779022491</v>
      </c>
      <c r="Q58" s="37">
        <f t="shared" si="18"/>
        <v>16079.752645971212</v>
      </c>
      <c r="R58" s="37">
        <f t="shared" si="18"/>
        <v>16190.343256798838</v>
      </c>
      <c r="S58" s="37">
        <f t="shared" si="18"/>
        <v>16270.689610635698</v>
      </c>
      <c r="T58" s="37">
        <f t="shared" si="18"/>
        <v>16338.65683527898</v>
      </c>
      <c r="U58" s="37">
        <f t="shared" si="18"/>
        <v>16395.217052346918</v>
      </c>
      <c r="V58" s="37">
        <f t="shared" si="18"/>
        <v>16436.522622479682</v>
      </c>
      <c r="W58" s="37">
        <f t="shared" si="18"/>
        <v>16463.64265386415</v>
      </c>
      <c r="X58" s="37">
        <f t="shared" si="18"/>
        <v>16475.761707795969</v>
      </c>
      <c r="Y58" s="37">
        <f t="shared" si="18"/>
        <v>16479.750031485586</v>
      </c>
      <c r="Z58" s="37">
        <f t="shared" si="18"/>
        <v>16469.636749270037</v>
      </c>
      <c r="AA58" s="37">
        <f t="shared" si="18"/>
        <v>16446.505621520595</v>
      </c>
      <c r="AB58" s="37">
        <f t="shared" si="18"/>
        <v>16411.905364828341</v>
      </c>
    </row>
    <row r="59" spans="1:28" x14ac:dyDescent="0.25">
      <c r="A59" s="4" t="s">
        <v>216</v>
      </c>
      <c r="B59" s="37">
        <f t="shared" ref="B59:AB59" si="19">B39*B15*$F$5</f>
        <v>12957.390981324605</v>
      </c>
      <c r="C59" s="37">
        <f t="shared" si="19"/>
        <v>13178.681232403313</v>
      </c>
      <c r="D59" s="37">
        <f t="shared" si="19"/>
        <v>13295.185094922634</v>
      </c>
      <c r="E59" s="37">
        <f t="shared" si="19"/>
        <v>13417.293605138761</v>
      </c>
      <c r="F59" s="37">
        <f t="shared" si="19"/>
        <v>13548.691989667053</v>
      </c>
      <c r="G59" s="37">
        <f t="shared" si="19"/>
        <v>13689.949081738565</v>
      </c>
      <c r="H59" s="37">
        <f t="shared" si="19"/>
        <v>13842.172999200515</v>
      </c>
      <c r="I59" s="37">
        <f t="shared" si="19"/>
        <v>14021.343422112219</v>
      </c>
      <c r="J59" s="37">
        <f t="shared" si="19"/>
        <v>14209.757147669843</v>
      </c>
      <c r="K59" s="37">
        <f t="shared" si="19"/>
        <v>14403.717905756717</v>
      </c>
      <c r="L59" s="37">
        <f t="shared" si="19"/>
        <v>14602.89105019686</v>
      </c>
      <c r="M59" s="37">
        <f t="shared" si="19"/>
        <v>14806.356322042331</v>
      </c>
      <c r="N59" s="37">
        <f t="shared" si="19"/>
        <v>15010.938564714903</v>
      </c>
      <c r="O59" s="37">
        <f t="shared" si="19"/>
        <v>15213.652347467816</v>
      </c>
      <c r="P59" s="37">
        <f t="shared" si="19"/>
        <v>15413.86875374412</v>
      </c>
      <c r="Q59" s="37">
        <f t="shared" si="19"/>
        <v>15607.391544553435</v>
      </c>
      <c r="R59" s="37">
        <f t="shared" si="19"/>
        <v>15793.107048260772</v>
      </c>
      <c r="S59" s="37">
        <f t="shared" si="19"/>
        <v>15949.746292215321</v>
      </c>
      <c r="T59" s="37">
        <f t="shared" si="19"/>
        <v>16094.345374920276</v>
      </c>
      <c r="U59" s="37">
        <f t="shared" si="19"/>
        <v>16225.532273096716</v>
      </c>
      <c r="V59" s="37">
        <f t="shared" si="19"/>
        <v>16339.758985391303</v>
      </c>
      <c r="W59" s="37">
        <f t="shared" si="19"/>
        <v>16433.879299949924</v>
      </c>
      <c r="X59" s="37">
        <f t="shared" si="19"/>
        <v>16508.913655638695</v>
      </c>
      <c r="Y59" s="37">
        <f t="shared" si="19"/>
        <v>16572.665965435466</v>
      </c>
      <c r="Z59" s="37">
        <f t="shared" si="19"/>
        <v>16618.088764658041</v>
      </c>
      <c r="AA59" s="37">
        <f t="shared" si="19"/>
        <v>16642.739014008032</v>
      </c>
      <c r="AB59" s="37">
        <f t="shared" si="19"/>
        <v>16647.024304444862</v>
      </c>
    </row>
    <row r="60" spans="1:28" x14ac:dyDescent="0.25">
      <c r="A60" s="4" t="s">
        <v>217</v>
      </c>
      <c r="B60" s="37">
        <f t="shared" ref="B60:AB60" si="20">B40*B15*$F$6</f>
        <v>22446.153859907776</v>
      </c>
      <c r="C60" s="37">
        <f t="shared" si="20"/>
        <v>22855.43973599542</v>
      </c>
      <c r="D60" s="37">
        <f t="shared" si="20"/>
        <v>23080.15532736354</v>
      </c>
      <c r="E60" s="37">
        <f t="shared" si="20"/>
        <v>23306.051770262475</v>
      </c>
      <c r="F60" s="37">
        <f t="shared" si="20"/>
        <v>23537.868309290341</v>
      </c>
      <c r="G60" s="37">
        <f t="shared" si="20"/>
        <v>23775.624879190305</v>
      </c>
      <c r="H60" s="37">
        <f t="shared" si="20"/>
        <v>24020.115439685804</v>
      </c>
      <c r="I60" s="37">
        <f t="shared" si="20"/>
        <v>24299.165633041233</v>
      </c>
      <c r="J60" s="37">
        <f t="shared" si="20"/>
        <v>24581.318084969836</v>
      </c>
      <c r="K60" s="37">
        <f t="shared" si="20"/>
        <v>24862.242044349212</v>
      </c>
      <c r="L60" s="37">
        <f t="shared" si="20"/>
        <v>25140.67096226383</v>
      </c>
      <c r="M60" s="37">
        <f t="shared" si="20"/>
        <v>25415.691411051273</v>
      </c>
      <c r="N60" s="37">
        <f t="shared" si="20"/>
        <v>25682.774713748746</v>
      </c>
      <c r="O60" s="37">
        <f t="shared" si="20"/>
        <v>25939.482910272836</v>
      </c>
      <c r="P60" s="37">
        <f t="shared" si="20"/>
        <v>26182.605152953456</v>
      </c>
      <c r="Q60" s="37">
        <f t="shared" si="20"/>
        <v>26408.77233226339</v>
      </c>
      <c r="R60" s="37">
        <f t="shared" si="20"/>
        <v>26614.77903668338</v>
      </c>
      <c r="S60" s="37">
        <f t="shared" si="20"/>
        <v>26767.495635670464</v>
      </c>
      <c r="T60" s="37">
        <f t="shared" si="20"/>
        <v>26896.171166690812</v>
      </c>
      <c r="U60" s="37">
        <f t="shared" si="20"/>
        <v>27000.944518083714</v>
      </c>
      <c r="V60" s="37">
        <f t="shared" si="20"/>
        <v>27074.807300918455</v>
      </c>
      <c r="W60" s="37">
        <f t="shared" si="20"/>
        <v>27115.936363575729</v>
      </c>
      <c r="X60" s="37">
        <f t="shared" si="20"/>
        <v>27125.117920675257</v>
      </c>
      <c r="Y60" s="37">
        <f t="shared" si="20"/>
        <v>27116.360386326021</v>
      </c>
      <c r="Z60" s="37">
        <f t="shared" si="20"/>
        <v>27077.637230495533</v>
      </c>
      <c r="AA60" s="37">
        <f t="shared" si="20"/>
        <v>27007.446183598135</v>
      </c>
      <c r="AB60" s="37">
        <f t="shared" si="20"/>
        <v>26908.260108723804</v>
      </c>
    </row>
    <row r="61" spans="1:28" x14ac:dyDescent="0.25">
      <c r="A61" s="4" t="s">
        <v>218</v>
      </c>
      <c r="B61" s="37">
        <f t="shared" ref="B61:AB61" si="21">B41*B15*$F$7</f>
        <v>3788.7920625961806</v>
      </c>
      <c r="C61" s="37">
        <f t="shared" si="21"/>
        <v>3851.6315382915632</v>
      </c>
      <c r="D61" s="37">
        <f t="shared" si="21"/>
        <v>3884.0199557791298</v>
      </c>
      <c r="E61" s="37">
        <f t="shared" si="21"/>
        <v>3916.5131280492633</v>
      </c>
      <c r="F61" s="37">
        <f t="shared" si="21"/>
        <v>3950.389686769849</v>
      </c>
      <c r="G61" s="37">
        <f t="shared" si="21"/>
        <v>3985.7435416885746</v>
      </c>
      <c r="H61" s="37">
        <f t="shared" si="21"/>
        <v>4022.4664141101589</v>
      </c>
      <c r="I61" s="37">
        <f t="shared" si="21"/>
        <v>4065.7818999162118</v>
      </c>
      <c r="J61" s="37">
        <f t="shared" si="21"/>
        <v>4110.5043805383684</v>
      </c>
      <c r="K61" s="37">
        <f t="shared" si="21"/>
        <v>4156.3711836898283</v>
      </c>
      <c r="L61" s="37">
        <f t="shared" si="21"/>
        <v>4203.3893810985564</v>
      </c>
      <c r="M61" s="37">
        <f t="shared" si="21"/>
        <v>4251.3455871060751</v>
      </c>
      <c r="N61" s="37">
        <f t="shared" si="21"/>
        <v>4300.4446696911882</v>
      </c>
      <c r="O61" s="37">
        <f t="shared" si="21"/>
        <v>4349.6025448911678</v>
      </c>
      <c r="P61" s="37">
        <f t="shared" si="21"/>
        <v>4399.3052421547573</v>
      </c>
      <c r="Q61" s="37">
        <f t="shared" si="21"/>
        <v>4448.6655712844104</v>
      </c>
      <c r="R61" s="37">
        <f t="shared" si="21"/>
        <v>4497.5866980733872</v>
      </c>
      <c r="S61" s="37">
        <f t="shared" si="21"/>
        <v>4540.8318319884056</v>
      </c>
      <c r="T61" s="37">
        <f t="shared" si="21"/>
        <v>4582.6749445630103</v>
      </c>
      <c r="U61" s="37">
        <f t="shared" si="21"/>
        <v>4623.1949020973288</v>
      </c>
      <c r="V61" s="37">
        <f t="shared" si="21"/>
        <v>4661.8607380543735</v>
      </c>
      <c r="W61" s="37">
        <f t="shared" si="21"/>
        <v>4697.8190802318777</v>
      </c>
      <c r="X61" s="37">
        <f t="shared" si="21"/>
        <v>4730.7691790393274</v>
      </c>
      <c r="Y61" s="37">
        <f t="shared" si="21"/>
        <v>4761.9181047393386</v>
      </c>
      <c r="Z61" s="37">
        <f t="shared" si="21"/>
        <v>4789.961329147136</v>
      </c>
      <c r="AA61" s="37">
        <f t="shared" si="21"/>
        <v>4814.871816221159</v>
      </c>
      <c r="AB61" s="37">
        <f t="shared" si="21"/>
        <v>4836.1650577799865</v>
      </c>
    </row>
    <row r="62" spans="1:28" x14ac:dyDescent="0.25">
      <c r="A62" s="4" t="s">
        <v>219</v>
      </c>
      <c r="B62" s="37">
        <f t="shared" ref="B62:AB62" si="22">B42*B15*$F$8</f>
        <v>343.94102263564963</v>
      </c>
      <c r="C62" s="37">
        <f t="shared" si="22"/>
        <v>352.55917288993197</v>
      </c>
      <c r="D62" s="37">
        <f t="shared" si="22"/>
        <v>358.63188483701191</v>
      </c>
      <c r="E62" s="37">
        <f t="shared" si="22"/>
        <v>365.1834519583918</v>
      </c>
      <c r="F62" s="37">
        <f t="shared" si="22"/>
        <v>372.31383005016085</v>
      </c>
      <c r="G62" s="37">
        <f t="shared" si="22"/>
        <v>380.00900767863817</v>
      </c>
      <c r="H62" s="37">
        <f t="shared" si="22"/>
        <v>388.28816387214931</v>
      </c>
      <c r="I62" s="37">
        <f t="shared" si="22"/>
        <v>397.64424633315843</v>
      </c>
      <c r="J62" s="37">
        <f t="shared" si="22"/>
        <v>407.39736689797013</v>
      </c>
      <c r="K62" s="37">
        <f t="shared" si="22"/>
        <v>417.4642907405414</v>
      </c>
      <c r="L62" s="37">
        <f t="shared" si="22"/>
        <v>427.95009171428279</v>
      </c>
      <c r="M62" s="37">
        <f t="shared" si="22"/>
        <v>438.7703416927522</v>
      </c>
      <c r="N62" s="37">
        <f t="shared" si="22"/>
        <v>449.86871852786618</v>
      </c>
      <c r="O62" s="37">
        <f t="shared" si="22"/>
        <v>461.16610149360912</v>
      </c>
      <c r="P62" s="37">
        <f t="shared" si="22"/>
        <v>472.62143647711162</v>
      </c>
      <c r="Q62" s="37">
        <f t="shared" si="22"/>
        <v>484.14570141834571</v>
      </c>
      <c r="R62" s="37">
        <f t="shared" si="22"/>
        <v>495.69539095074674</v>
      </c>
      <c r="S62" s="37">
        <f t="shared" si="22"/>
        <v>506.60023175829082</v>
      </c>
      <c r="T62" s="37">
        <f t="shared" si="22"/>
        <v>517.42879695742113</v>
      </c>
      <c r="U62" s="37">
        <f t="shared" si="22"/>
        <v>528.07024730093258</v>
      </c>
      <c r="V62" s="37">
        <f t="shared" si="22"/>
        <v>538.54330984732235</v>
      </c>
      <c r="W62" s="37">
        <f t="shared" si="22"/>
        <v>548.81291467776396</v>
      </c>
      <c r="X62" s="37">
        <f t="shared" si="22"/>
        <v>558.92630096376013</v>
      </c>
      <c r="Y62" s="37">
        <f t="shared" si="22"/>
        <v>568.84705488257737</v>
      </c>
      <c r="Z62" s="37">
        <f t="shared" si="22"/>
        <v>578.59281467080177</v>
      </c>
      <c r="AA62" s="37">
        <f t="shared" si="22"/>
        <v>588.15711283820156</v>
      </c>
      <c r="AB62" s="37">
        <f t="shared" si="22"/>
        <v>597.49722412557219</v>
      </c>
    </row>
    <row r="63" spans="1:28" x14ac:dyDescent="0.25">
      <c r="A63" s="4" t="s">
        <v>220</v>
      </c>
      <c r="B63" s="37">
        <f t="shared" ref="B63:AB63" si="23">B43*B15*$F$9</f>
        <v>554.81405337469994</v>
      </c>
      <c r="C63" s="37">
        <f t="shared" si="23"/>
        <v>567.91978318902977</v>
      </c>
      <c r="D63" s="37">
        <f t="shared" si="23"/>
        <v>577.01375350096839</v>
      </c>
      <c r="E63" s="37">
        <f t="shared" si="23"/>
        <v>587.10424927990334</v>
      </c>
      <c r="F63" s="37">
        <f t="shared" si="23"/>
        <v>597.21299344674844</v>
      </c>
      <c r="G63" s="37">
        <f t="shared" si="23"/>
        <v>608.18919231149857</v>
      </c>
      <c r="H63" s="37">
        <f t="shared" si="23"/>
        <v>619.47294866274456</v>
      </c>
      <c r="I63" s="37">
        <f t="shared" si="23"/>
        <v>631.72925391990179</v>
      </c>
      <c r="J63" s="37">
        <f t="shared" si="23"/>
        <v>644.23378294191252</v>
      </c>
      <c r="K63" s="37">
        <f t="shared" si="23"/>
        <v>657.67742264925153</v>
      </c>
      <c r="L63" s="37">
        <f t="shared" si="23"/>
        <v>671.42413446408545</v>
      </c>
      <c r="M63" s="37">
        <f t="shared" si="23"/>
        <v>685.67664750828942</v>
      </c>
      <c r="N63" s="37">
        <f t="shared" si="23"/>
        <v>700.13133094173384</v>
      </c>
      <c r="O63" s="37">
        <f t="shared" si="23"/>
        <v>714.84203811745965</v>
      </c>
      <c r="P63" s="37">
        <f t="shared" si="23"/>
        <v>729.99419621367042</v>
      </c>
      <c r="Q63" s="37">
        <f t="shared" si="23"/>
        <v>745.48937167732583</v>
      </c>
      <c r="R63" s="37">
        <f t="shared" si="23"/>
        <v>761.18312633589687</v>
      </c>
      <c r="S63" s="37">
        <f t="shared" si="23"/>
        <v>775.94748942938247</v>
      </c>
      <c r="T63" s="37">
        <f t="shared" si="23"/>
        <v>790.85641131591171</v>
      </c>
      <c r="U63" s="37">
        <f t="shared" si="23"/>
        <v>805.70143190231124</v>
      </c>
      <c r="V63" s="37">
        <f t="shared" si="23"/>
        <v>820.25081735536071</v>
      </c>
      <c r="W63" s="37">
        <f t="shared" si="23"/>
        <v>835.00587810089087</v>
      </c>
      <c r="X63" s="37">
        <f t="shared" si="23"/>
        <v>849.56291518364299</v>
      </c>
      <c r="Y63" s="37">
        <f t="shared" si="23"/>
        <v>864.16337439219342</v>
      </c>
      <c r="Z63" s="37">
        <f t="shared" si="23"/>
        <v>878.47465674618684</v>
      </c>
      <c r="AA63" s="37">
        <f t="shared" si="23"/>
        <v>892.62652249240602</v>
      </c>
      <c r="AB63" s="37">
        <f t="shared" si="23"/>
        <v>906.75389199543542</v>
      </c>
    </row>
    <row r="64" spans="1:28" x14ac:dyDescent="0.25">
      <c r="A64" s="4" t="s">
        <v>221</v>
      </c>
      <c r="B64" s="37">
        <f t="shared" ref="B64:AB64" si="24">B44*B15*$F$10</f>
        <v>1128.6037236716777</v>
      </c>
      <c r="C64" s="37">
        <f t="shared" si="24"/>
        <v>1170.1283443089553</v>
      </c>
      <c r="D64" s="37">
        <f t="shared" si="24"/>
        <v>1203.089891584722</v>
      </c>
      <c r="E64" s="37">
        <f t="shared" si="24"/>
        <v>1236.6823054973715</v>
      </c>
      <c r="F64" s="37">
        <f t="shared" si="24"/>
        <v>1270.9135187138947</v>
      </c>
      <c r="G64" s="37">
        <f t="shared" si="24"/>
        <v>1305.9322814244679</v>
      </c>
      <c r="H64" s="37">
        <f t="shared" si="24"/>
        <v>1342.1556751567548</v>
      </c>
      <c r="I64" s="37">
        <f t="shared" si="24"/>
        <v>1381.3041634007734</v>
      </c>
      <c r="J64" s="37">
        <f t="shared" si="24"/>
        <v>1421.3967683686242</v>
      </c>
      <c r="K64" s="37">
        <f t="shared" si="24"/>
        <v>1462.7564356592477</v>
      </c>
      <c r="L64" s="37">
        <f t="shared" si="24"/>
        <v>1505.6255311112404</v>
      </c>
      <c r="M64" s="37">
        <f t="shared" si="24"/>
        <v>1549.629280109139</v>
      </c>
      <c r="N64" s="37">
        <f t="shared" si="24"/>
        <v>1595.1652261708502</v>
      </c>
      <c r="O64" s="37">
        <f t="shared" si="24"/>
        <v>1641.9615180968478</v>
      </c>
      <c r="P64" s="37">
        <f t="shared" si="24"/>
        <v>1689.9410767535649</v>
      </c>
      <c r="Q64" s="37">
        <f t="shared" si="24"/>
        <v>1739.1741197169665</v>
      </c>
      <c r="R64" s="37">
        <f t="shared" si="24"/>
        <v>1789.3060904183942</v>
      </c>
      <c r="S64" s="37">
        <f t="shared" si="24"/>
        <v>1838.2005326253588</v>
      </c>
      <c r="T64" s="37">
        <f t="shared" si="24"/>
        <v>1887.8262030661867</v>
      </c>
      <c r="U64" s="37">
        <f t="shared" si="24"/>
        <v>1938.0519710271117</v>
      </c>
      <c r="V64" s="37">
        <f t="shared" si="24"/>
        <v>1988.615663278656</v>
      </c>
      <c r="W64" s="37">
        <f t="shared" si="24"/>
        <v>2039.2406467254327</v>
      </c>
      <c r="X64" s="37">
        <f t="shared" si="24"/>
        <v>2090.171709225699</v>
      </c>
      <c r="Y64" s="37">
        <f t="shared" si="24"/>
        <v>2140.9857889517993</v>
      </c>
      <c r="Z64" s="37">
        <f t="shared" si="24"/>
        <v>2191.6526853536343</v>
      </c>
      <c r="AA64" s="37">
        <f t="shared" si="24"/>
        <v>2241.6798482987629</v>
      </c>
      <c r="AB64" s="37">
        <f t="shared" si="24"/>
        <v>2291.0072531114565</v>
      </c>
    </row>
    <row r="65" spans="1:28" x14ac:dyDescent="0.25">
      <c r="A65" s="4" t="s">
        <v>222</v>
      </c>
      <c r="B65" s="37">
        <f t="shared" ref="B65:AB65" si="25">B45*B15*$F$11</f>
        <v>27339.685172021062</v>
      </c>
      <c r="C65" s="37">
        <f t="shared" si="25"/>
        <v>27796.377047427832</v>
      </c>
      <c r="D65" s="37">
        <f t="shared" si="25"/>
        <v>28029.033158873954</v>
      </c>
      <c r="E65" s="37">
        <f t="shared" si="25"/>
        <v>28264.619086610557</v>
      </c>
      <c r="F65" s="37">
        <f t="shared" si="25"/>
        <v>28508.641300790994</v>
      </c>
      <c r="G65" s="37">
        <f t="shared" si="25"/>
        <v>28761.881036886069</v>
      </c>
      <c r="H65" s="37">
        <f t="shared" si="25"/>
        <v>29023.505143211318</v>
      </c>
      <c r="I65" s="37">
        <f t="shared" si="25"/>
        <v>29327.404626803596</v>
      </c>
      <c r="J65" s="37">
        <f t="shared" si="25"/>
        <v>29635.64297268974</v>
      </c>
      <c r="K65" s="37">
        <f t="shared" si="25"/>
        <v>29943.102158084544</v>
      </c>
      <c r="L65" s="37">
        <f t="shared" si="25"/>
        <v>30247.458065856095</v>
      </c>
      <c r="M65" s="37">
        <f t="shared" si="25"/>
        <v>30548.316075892206</v>
      </c>
      <c r="N65" s="37">
        <f t="shared" si="25"/>
        <v>30839.493182547572</v>
      </c>
      <c r="O65" s="37">
        <f t="shared" si="25"/>
        <v>31117.687515120077</v>
      </c>
      <c r="P65" s="37">
        <f t="shared" si="25"/>
        <v>31380.16950511219</v>
      </c>
      <c r="Q65" s="37">
        <f t="shared" si="25"/>
        <v>31621.816425978956</v>
      </c>
      <c r="R65" s="37">
        <f t="shared" si="25"/>
        <v>31839.544662580847</v>
      </c>
      <c r="S65" s="37">
        <f t="shared" si="25"/>
        <v>31993.449678024459</v>
      </c>
      <c r="T65" s="37">
        <f t="shared" si="25"/>
        <v>32118.240399151317</v>
      </c>
      <c r="U65" s="37">
        <f t="shared" si="25"/>
        <v>32213.779056476833</v>
      </c>
      <c r="V65" s="37">
        <f t="shared" si="25"/>
        <v>32272.355064492094</v>
      </c>
      <c r="W65" s="37">
        <f t="shared" si="25"/>
        <v>32292.28837842997</v>
      </c>
      <c r="X65" s="37">
        <f t="shared" si="25"/>
        <v>32273.239826414989</v>
      </c>
      <c r="Y65" s="37">
        <f t="shared" si="25"/>
        <v>32232.662039396924</v>
      </c>
      <c r="Z65" s="37">
        <f t="shared" si="25"/>
        <v>32156.001898620219</v>
      </c>
      <c r="AA65" s="37">
        <f t="shared" si="25"/>
        <v>32042.877260456306</v>
      </c>
      <c r="AB65" s="37">
        <f t="shared" si="25"/>
        <v>31895.629175625178</v>
      </c>
    </row>
    <row r="67" spans="1:28" x14ac:dyDescent="0.25">
      <c r="A67" s="4" t="s">
        <v>328</v>
      </c>
    </row>
    <row r="68" spans="1:28" x14ac:dyDescent="0.25">
      <c r="A68" s="4" t="s">
        <v>329</v>
      </c>
      <c r="B68" s="40">
        <f t="shared" ref="B68:AB68" si="26">B48+B49</f>
        <v>155.56037007495195</v>
      </c>
      <c r="C68" s="40">
        <f t="shared" si="26"/>
        <v>154.75934986422715</v>
      </c>
      <c r="D68" s="40">
        <f t="shared" si="26"/>
        <v>152.74686614796161</v>
      </c>
      <c r="E68" s="40">
        <f t="shared" si="26"/>
        <v>150.76427351670736</v>
      </c>
      <c r="F68" s="40">
        <f t="shared" si="26"/>
        <v>148.78513151386178</v>
      </c>
      <c r="G68" s="40">
        <f t="shared" si="26"/>
        <v>146.82781506029306</v>
      </c>
      <c r="H68" s="40">
        <f t="shared" si="26"/>
        <v>144.88408909017897</v>
      </c>
      <c r="I68" s="40">
        <f t="shared" si="26"/>
        <v>143.14156931375769</v>
      </c>
      <c r="J68" s="40">
        <f t="shared" si="26"/>
        <v>141.40257857621941</v>
      </c>
      <c r="K68" s="40">
        <f t="shared" si="26"/>
        <v>139.65249118607301</v>
      </c>
      <c r="L68" s="40">
        <f t="shared" si="26"/>
        <v>137.90081928525461</v>
      </c>
      <c r="M68" s="40">
        <f t="shared" si="26"/>
        <v>136.13816100113829</v>
      </c>
      <c r="N68" s="40">
        <f t="shared" si="26"/>
        <v>134.38183034142523</v>
      </c>
      <c r="O68" s="40">
        <f t="shared" si="26"/>
        <v>132.59755657676104</v>
      </c>
      <c r="P68" s="40">
        <f t="shared" si="26"/>
        <v>130.78402573292118</v>
      </c>
      <c r="Q68" s="40">
        <f t="shared" si="26"/>
        <v>128.9674326037092</v>
      </c>
      <c r="R68" s="40">
        <f t="shared" si="26"/>
        <v>127.12917007463378</v>
      </c>
      <c r="S68" s="40">
        <f t="shared" si="26"/>
        <v>125.14933315285248</v>
      </c>
      <c r="T68" s="40">
        <f t="shared" si="26"/>
        <v>123.18405554825816</v>
      </c>
      <c r="U68" s="40">
        <f t="shared" si="26"/>
        <v>121.24869784329499</v>
      </c>
      <c r="V68" s="40">
        <f t="shared" si="26"/>
        <v>119.35804473293554</v>
      </c>
      <c r="W68" s="40">
        <f t="shared" si="26"/>
        <v>117.50948260951512</v>
      </c>
      <c r="X68" s="40">
        <f t="shared" si="26"/>
        <v>115.74241167110898</v>
      </c>
      <c r="Y68" s="40">
        <f t="shared" si="26"/>
        <v>114.02988719706724</v>
      </c>
      <c r="Z68" s="40">
        <f t="shared" si="26"/>
        <v>112.36922622632653</v>
      </c>
      <c r="AA68" s="40">
        <f t="shared" si="26"/>
        <v>110.75847535774076</v>
      </c>
      <c r="AB68" s="40">
        <f t="shared" si="26"/>
        <v>109.21233544037185</v>
      </c>
    </row>
    <row r="69" spans="1:28" x14ac:dyDescent="0.25">
      <c r="A69" s="4" t="s">
        <v>330</v>
      </c>
      <c r="B69" s="40">
        <f t="shared" ref="B69:AB69" si="27">B50+B51+B52+B53</f>
        <v>158.41177916101381</v>
      </c>
      <c r="C69" s="40">
        <f t="shared" si="27"/>
        <v>157.47796324379243</v>
      </c>
      <c r="D69" s="40">
        <f t="shared" si="27"/>
        <v>155.31646406961025</v>
      </c>
      <c r="E69" s="40">
        <f t="shared" si="27"/>
        <v>153.17561485998186</v>
      </c>
      <c r="F69" s="40">
        <f t="shared" si="27"/>
        <v>151.03841773427629</v>
      </c>
      <c r="G69" s="40">
        <f t="shared" si="27"/>
        <v>148.92688214072325</v>
      </c>
      <c r="H69" s="40">
        <f t="shared" si="27"/>
        <v>146.8222310787207</v>
      </c>
      <c r="I69" s="40">
        <f t="shared" si="27"/>
        <v>144.92850640404794</v>
      </c>
      <c r="J69" s="40">
        <f t="shared" si="27"/>
        <v>143.03683776432268</v>
      </c>
      <c r="K69" s="40">
        <f t="shared" si="27"/>
        <v>141.1247523694648</v>
      </c>
      <c r="L69" s="40">
        <f t="shared" si="27"/>
        <v>139.22423384000115</v>
      </c>
      <c r="M69" s="40">
        <f t="shared" si="27"/>
        <v>137.31876916822497</v>
      </c>
      <c r="N69" s="40">
        <f t="shared" si="27"/>
        <v>135.41759271099406</v>
      </c>
      <c r="O69" s="40">
        <f t="shared" si="27"/>
        <v>133.49151456072357</v>
      </c>
      <c r="P69" s="40">
        <f t="shared" si="27"/>
        <v>131.54404791498825</v>
      </c>
      <c r="Q69" s="40">
        <f t="shared" si="27"/>
        <v>129.59053918864103</v>
      </c>
      <c r="R69" s="40">
        <f t="shared" si="27"/>
        <v>127.62780920975084</v>
      </c>
      <c r="S69" s="40">
        <f t="shared" si="27"/>
        <v>125.51758715820921</v>
      </c>
      <c r="T69" s="40">
        <f t="shared" si="27"/>
        <v>123.42168746543321</v>
      </c>
      <c r="U69" s="40">
        <f t="shared" si="27"/>
        <v>121.36682580058219</v>
      </c>
      <c r="V69" s="40">
        <f t="shared" si="27"/>
        <v>119.3559513613602</v>
      </c>
      <c r="W69" s="40">
        <f t="shared" si="27"/>
        <v>117.3878497500386</v>
      </c>
      <c r="X69" s="40">
        <f t="shared" si="27"/>
        <v>115.51023050485934</v>
      </c>
      <c r="Y69" s="40">
        <f t="shared" si="27"/>
        <v>113.68272761044405</v>
      </c>
      <c r="Z69" s="40">
        <f t="shared" si="27"/>
        <v>111.91815367297947</v>
      </c>
      <c r="AA69" s="40">
        <f t="shared" si="27"/>
        <v>110.21053248728627</v>
      </c>
      <c r="AB69" s="40">
        <f t="shared" si="27"/>
        <v>108.56640764757572</v>
      </c>
    </row>
    <row r="70" spans="1:28" x14ac:dyDescent="0.25">
      <c r="A70" s="4" t="s">
        <v>331</v>
      </c>
      <c r="B70" s="40">
        <f t="shared" ref="B70:AB70" si="28">B54+B55</f>
        <v>152.49343971536609</v>
      </c>
      <c r="C70" s="40">
        <f t="shared" si="28"/>
        <v>151.4658343065926</v>
      </c>
      <c r="D70" s="40">
        <f t="shared" si="28"/>
        <v>149.24077241310266</v>
      </c>
      <c r="E70" s="40">
        <f t="shared" si="28"/>
        <v>147.04108890878933</v>
      </c>
      <c r="F70" s="40">
        <f t="shared" si="28"/>
        <v>144.82547766948019</v>
      </c>
      <c r="G70" s="40">
        <f t="shared" si="28"/>
        <v>142.65455552482581</v>
      </c>
      <c r="H70" s="40">
        <f t="shared" si="28"/>
        <v>140.50151679556328</v>
      </c>
      <c r="I70" s="40">
        <f t="shared" si="28"/>
        <v>138.5494918543007</v>
      </c>
      <c r="J70" s="40">
        <f t="shared" si="28"/>
        <v>136.60848112425853</v>
      </c>
      <c r="K70" s="40">
        <f t="shared" si="28"/>
        <v>134.66336236053979</v>
      </c>
      <c r="L70" s="40">
        <f t="shared" si="28"/>
        <v>132.72955256746826</v>
      </c>
      <c r="M70" s="40">
        <f t="shared" si="28"/>
        <v>130.79687440462138</v>
      </c>
      <c r="N70" s="40">
        <f t="shared" si="28"/>
        <v>128.88457210921817</v>
      </c>
      <c r="O70" s="40">
        <f t="shared" si="28"/>
        <v>126.95295122308428</v>
      </c>
      <c r="P70" s="40">
        <f t="shared" si="28"/>
        <v>125.01810486769595</v>
      </c>
      <c r="Q70" s="40">
        <f t="shared" si="28"/>
        <v>123.09193529866204</v>
      </c>
      <c r="R70" s="40">
        <f t="shared" si="28"/>
        <v>121.17036564833005</v>
      </c>
      <c r="S70" s="40">
        <f t="shared" si="28"/>
        <v>119.11051216231759</v>
      </c>
      <c r="T70" s="40">
        <f t="shared" si="28"/>
        <v>117.08464918900437</v>
      </c>
      <c r="U70" s="40">
        <f t="shared" si="28"/>
        <v>115.10997133436713</v>
      </c>
      <c r="V70" s="40">
        <f t="shared" si="28"/>
        <v>113.18159826147036</v>
      </c>
      <c r="W70" s="40">
        <f t="shared" si="28"/>
        <v>111.32383260417194</v>
      </c>
      <c r="X70" s="40">
        <f t="shared" si="28"/>
        <v>109.52797674083651</v>
      </c>
      <c r="Y70" s="40">
        <f t="shared" si="28"/>
        <v>107.79568911285193</v>
      </c>
      <c r="Z70" s="40">
        <f t="shared" si="28"/>
        <v>106.11932030263711</v>
      </c>
      <c r="AA70" s="40">
        <f t="shared" si="28"/>
        <v>104.49138011292774</v>
      </c>
      <c r="AB70" s="40">
        <f t="shared" si="28"/>
        <v>102.92330189921609</v>
      </c>
    </row>
    <row r="71" spans="1:28" x14ac:dyDescent="0.25">
      <c r="A71" s="4" t="s">
        <v>332</v>
      </c>
      <c r="B71" s="40">
        <f t="shared" ref="B71:AB71" si="29">B58+B59</f>
        <v>26630.187672766209</v>
      </c>
      <c r="C71" s="40">
        <f t="shared" si="29"/>
        <v>27121.098133352491</v>
      </c>
      <c r="D71" s="40">
        <f t="shared" si="29"/>
        <v>27395.189899280464</v>
      </c>
      <c r="E71" s="40">
        <f t="shared" si="29"/>
        <v>27673.206289439993</v>
      </c>
      <c r="F71" s="40">
        <f t="shared" si="29"/>
        <v>27960.074562259681</v>
      </c>
      <c r="G71" s="40">
        <f t="shared" si="29"/>
        <v>28256.793877155062</v>
      </c>
      <c r="H71" s="40">
        <f t="shared" si="29"/>
        <v>28563.481985489801</v>
      </c>
      <c r="I71" s="40">
        <f t="shared" si="29"/>
        <v>28913.802232770253</v>
      </c>
      <c r="J71" s="40">
        <f t="shared" si="29"/>
        <v>29269.962535141349</v>
      </c>
      <c r="K71" s="40">
        <f t="shared" si="29"/>
        <v>29628.051556955368</v>
      </c>
      <c r="L71" s="40">
        <f t="shared" si="29"/>
        <v>29986.498807810396</v>
      </c>
      <c r="M71" s="40">
        <f t="shared" si="29"/>
        <v>30344.185914788755</v>
      </c>
      <c r="N71" s="40">
        <f t="shared" si="29"/>
        <v>30696.413561384776</v>
      </c>
      <c r="O71" s="40">
        <f t="shared" si="29"/>
        <v>31039.678383166829</v>
      </c>
      <c r="P71" s="40">
        <f t="shared" si="29"/>
        <v>31371.399532766613</v>
      </c>
      <c r="Q71" s="40">
        <f t="shared" si="29"/>
        <v>31687.144190524647</v>
      </c>
      <c r="R71" s="40">
        <f t="shared" si="29"/>
        <v>31983.45030505961</v>
      </c>
      <c r="S71" s="40">
        <f t="shared" si="29"/>
        <v>32220.435902851019</v>
      </c>
      <c r="T71" s="40">
        <f t="shared" si="29"/>
        <v>32433.002210199258</v>
      </c>
      <c r="U71" s="40">
        <f t="shared" si="29"/>
        <v>32620.749325443634</v>
      </c>
      <c r="V71" s="40">
        <f t="shared" si="29"/>
        <v>32776.281607870988</v>
      </c>
      <c r="W71" s="40">
        <f t="shared" si="29"/>
        <v>32897.521953814074</v>
      </c>
      <c r="X71" s="40">
        <f t="shared" si="29"/>
        <v>32984.675363434668</v>
      </c>
      <c r="Y71" s="40">
        <f t="shared" si="29"/>
        <v>33052.415996921052</v>
      </c>
      <c r="Z71" s="40">
        <f t="shared" si="29"/>
        <v>33087.725513928075</v>
      </c>
      <c r="AA71" s="40">
        <f t="shared" si="29"/>
        <v>33089.244635528623</v>
      </c>
      <c r="AB71" s="40">
        <f t="shared" si="29"/>
        <v>33058.929669273202</v>
      </c>
    </row>
    <row r="72" spans="1:28" x14ac:dyDescent="0.25">
      <c r="A72" s="4" t="s">
        <v>333</v>
      </c>
      <c r="B72" s="40">
        <f t="shared" ref="B72:AB72" si="30">B60+B61+B62+B63</f>
        <v>27133.700998514305</v>
      </c>
      <c r="C72" s="40">
        <f t="shared" si="30"/>
        <v>27627.550230365945</v>
      </c>
      <c r="D72" s="40">
        <f t="shared" si="30"/>
        <v>27899.820921480648</v>
      </c>
      <c r="E72" s="40">
        <f t="shared" si="30"/>
        <v>28174.852599550035</v>
      </c>
      <c r="F72" s="40">
        <f t="shared" si="30"/>
        <v>28457.784819557099</v>
      </c>
      <c r="G72" s="40">
        <f t="shared" si="30"/>
        <v>28749.566620869016</v>
      </c>
      <c r="H72" s="40">
        <f t="shared" si="30"/>
        <v>29050.342966330856</v>
      </c>
      <c r="I72" s="40">
        <f t="shared" si="30"/>
        <v>29394.321033210505</v>
      </c>
      <c r="J72" s="40">
        <f t="shared" si="30"/>
        <v>29743.453615348088</v>
      </c>
      <c r="K72" s="40">
        <f t="shared" si="30"/>
        <v>30093.754941428833</v>
      </c>
      <c r="L72" s="40">
        <f t="shared" si="30"/>
        <v>30443.434569540757</v>
      </c>
      <c r="M72" s="40">
        <f t="shared" si="30"/>
        <v>30791.483987358388</v>
      </c>
      <c r="N72" s="40">
        <f t="shared" si="30"/>
        <v>31133.219432909533</v>
      </c>
      <c r="O72" s="40">
        <f t="shared" si="30"/>
        <v>31465.093594775073</v>
      </c>
      <c r="P72" s="40">
        <f t="shared" si="30"/>
        <v>31784.526027798995</v>
      </c>
      <c r="Q72" s="40">
        <f t="shared" si="30"/>
        <v>32087.072976643474</v>
      </c>
      <c r="R72" s="40">
        <f t="shared" si="30"/>
        <v>32369.244252043412</v>
      </c>
      <c r="S72" s="40">
        <f t="shared" si="30"/>
        <v>32590.875188846541</v>
      </c>
      <c r="T72" s="40">
        <f t="shared" si="30"/>
        <v>32787.13131952715</v>
      </c>
      <c r="U72" s="40">
        <f t="shared" si="30"/>
        <v>32957.911099384291</v>
      </c>
      <c r="V72" s="40">
        <f t="shared" si="30"/>
        <v>33095.462166175508</v>
      </c>
      <c r="W72" s="40">
        <f t="shared" si="30"/>
        <v>33197.574236586261</v>
      </c>
      <c r="X72" s="40">
        <f t="shared" si="30"/>
        <v>33264.376315861991</v>
      </c>
      <c r="Y72" s="40">
        <f t="shared" si="30"/>
        <v>33311.288920340136</v>
      </c>
      <c r="Z72" s="40">
        <f t="shared" si="30"/>
        <v>33324.666031059656</v>
      </c>
      <c r="AA72" s="40">
        <f t="shared" si="30"/>
        <v>33303.101635149898</v>
      </c>
      <c r="AB72" s="40">
        <f t="shared" si="30"/>
        <v>33248.676282624794</v>
      </c>
    </row>
    <row r="73" spans="1:28" x14ac:dyDescent="0.25">
      <c r="A73" s="4" t="s">
        <v>334</v>
      </c>
      <c r="B73" s="40">
        <f t="shared" ref="B73:AB73" si="31">B64+B65</f>
        <v>28468.288895692738</v>
      </c>
      <c r="C73" s="40">
        <f t="shared" si="31"/>
        <v>28966.505391736788</v>
      </c>
      <c r="D73" s="40">
        <f t="shared" si="31"/>
        <v>29232.123050458675</v>
      </c>
      <c r="E73" s="40">
        <f t="shared" si="31"/>
        <v>29501.301392107929</v>
      </c>
      <c r="F73" s="40">
        <f t="shared" si="31"/>
        <v>29779.55481950489</v>
      </c>
      <c r="G73" s="40">
        <f t="shared" si="31"/>
        <v>30067.813318310538</v>
      </c>
      <c r="H73" s="40">
        <f t="shared" si="31"/>
        <v>30365.660818368073</v>
      </c>
      <c r="I73" s="40">
        <f t="shared" si="31"/>
        <v>30708.708790204371</v>
      </c>
      <c r="J73" s="40">
        <f t="shared" si="31"/>
        <v>31057.039741058365</v>
      </c>
      <c r="K73" s="40">
        <f t="shared" si="31"/>
        <v>31405.858593743793</v>
      </c>
      <c r="L73" s="40">
        <f t="shared" si="31"/>
        <v>31753.083596967335</v>
      </c>
      <c r="M73" s="40">
        <f t="shared" si="31"/>
        <v>32097.945356001346</v>
      </c>
      <c r="N73" s="40">
        <f t="shared" si="31"/>
        <v>32434.658408718424</v>
      </c>
      <c r="O73" s="40">
        <f t="shared" si="31"/>
        <v>32759.649033216923</v>
      </c>
      <c r="P73" s="40">
        <f t="shared" si="31"/>
        <v>33070.110581865752</v>
      </c>
      <c r="Q73" s="40">
        <f t="shared" si="31"/>
        <v>33360.990545695924</v>
      </c>
      <c r="R73" s="40">
        <f t="shared" si="31"/>
        <v>33628.850752999242</v>
      </c>
      <c r="S73" s="40">
        <f t="shared" si="31"/>
        <v>33831.650210649816</v>
      </c>
      <c r="T73" s="40">
        <f t="shared" si="31"/>
        <v>34006.066602217506</v>
      </c>
      <c r="U73" s="40">
        <f t="shared" si="31"/>
        <v>34151.831027503948</v>
      </c>
      <c r="V73" s="40">
        <f t="shared" si="31"/>
        <v>34260.970727770749</v>
      </c>
      <c r="W73" s="40">
        <f t="shared" si="31"/>
        <v>34331.529025155403</v>
      </c>
      <c r="X73" s="40">
        <f t="shared" si="31"/>
        <v>34363.411535640691</v>
      </c>
      <c r="Y73" s="40">
        <f t="shared" si="31"/>
        <v>34373.647828348723</v>
      </c>
      <c r="Z73" s="40">
        <f t="shared" si="31"/>
        <v>34347.654583973854</v>
      </c>
      <c r="AA73" s="40">
        <f t="shared" si="31"/>
        <v>34284.557108755071</v>
      </c>
      <c r="AB73" s="40">
        <f t="shared" si="31"/>
        <v>34186.63642873663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86.223556368032519</v>
      </c>
      <c r="C2" s="37">
        <f>BDbDT_calcs!C48</f>
        <v>85.699489414667724</v>
      </c>
      <c r="D2" s="37">
        <f>BDbDT_calcs!D48</f>
        <v>84.500885254043794</v>
      </c>
      <c r="E2" s="37">
        <f>BDbDT_calcs!E48</f>
        <v>83.324936929725453</v>
      </c>
      <c r="F2" s="37">
        <f>BDbDT_calcs!F48</f>
        <v>82.153857967617256</v>
      </c>
      <c r="G2" s="37">
        <f>BDbDT_calcs!G48</f>
        <v>80.98774537052951</v>
      </c>
      <c r="H2" s="37">
        <f>BDbDT_calcs!H48</f>
        <v>79.827104060109036</v>
      </c>
      <c r="I2" s="37">
        <f>BDbDT_calcs!I48</f>
        <v>78.814788222163045</v>
      </c>
      <c r="J2" s="37">
        <f>BDbDT_calcs!J48</f>
        <v>77.762399728209928</v>
      </c>
      <c r="K2" s="37">
        <f>BDbDT_calcs!K48</f>
        <v>76.737900849239068</v>
      </c>
      <c r="L2" s="37">
        <f>BDbDT_calcs!L48</f>
        <v>75.679652435646815</v>
      </c>
      <c r="M2" s="37">
        <f>BDbDT_calcs!M48</f>
        <v>74.649013038659945</v>
      </c>
      <c r="N2" s="37">
        <f>BDbDT_calcs!N48</f>
        <v>73.654195420677695</v>
      </c>
      <c r="O2" s="37">
        <f>BDbDT_calcs!O48</f>
        <v>72.573360533144424</v>
      </c>
      <c r="P2" s="37">
        <f>BDbDT_calcs!P48</f>
        <v>71.536593495208777</v>
      </c>
      <c r="Q2" s="37">
        <f>BDbDT_calcs!Q48</f>
        <v>70.465533549139522</v>
      </c>
      <c r="R2" s="37">
        <f>BDbDT_calcs!R48</f>
        <v>69.402857592659984</v>
      </c>
      <c r="S2" s="37">
        <f>BDbDT_calcs!S48</f>
        <v>68.251645937459145</v>
      </c>
      <c r="T2" s="37">
        <f>BDbDT_calcs!T48</f>
        <v>67.118290547329508</v>
      </c>
      <c r="U2" s="37">
        <f>BDbDT_calcs!U48</f>
        <v>66.001696930298706</v>
      </c>
      <c r="V2" s="37">
        <f>BDbDT_calcs!V48</f>
        <v>64.900598012745007</v>
      </c>
      <c r="W2" s="37">
        <f>BDbDT_calcs!W48</f>
        <v>63.82210914365988</v>
      </c>
      <c r="X2" s="37">
        <f>BDbDT_calcs!X48</f>
        <v>62.823686332154338</v>
      </c>
      <c r="Y2" s="37">
        <f>BDbDT_calcs!Y48</f>
        <v>61.836784061416019</v>
      </c>
      <c r="Z2" s="37">
        <f>BDbDT_calcs!Z48</f>
        <v>60.902046560704399</v>
      </c>
      <c r="AA2" s="37">
        <f>BDbDT_calcs!AA48</f>
        <v>59.98473449213526</v>
      </c>
      <c r="AB2" s="37">
        <f>BDbDT_calcs!AB48</f>
        <v>59.075486081879475</v>
      </c>
    </row>
    <row r="3" spans="1:28" x14ac:dyDescent="0.25">
      <c r="A3" s="4" t="s">
        <v>216</v>
      </c>
      <c r="B3" s="37">
        <f>BDbDT_calcs!B49</f>
        <v>69.336813706919429</v>
      </c>
      <c r="C3" s="37">
        <f>BDbDT_calcs!C49</f>
        <v>69.059860449559437</v>
      </c>
      <c r="D3" s="37">
        <f>BDbDT_calcs!D49</f>
        <v>68.245980893917832</v>
      </c>
      <c r="E3" s="37">
        <f>BDbDT_calcs!E49</f>
        <v>67.439336586981909</v>
      </c>
      <c r="F3" s="37">
        <f>BDbDT_calcs!F49</f>
        <v>66.631273546244529</v>
      </c>
      <c r="G3" s="37">
        <f>BDbDT_calcs!G49</f>
        <v>65.840069689763538</v>
      </c>
      <c r="H3" s="37">
        <f>BDbDT_calcs!H49</f>
        <v>65.056985030069924</v>
      </c>
      <c r="I3" s="37">
        <f>BDbDT_calcs!I49</f>
        <v>64.32678109159464</v>
      </c>
      <c r="J3" s="37">
        <f>BDbDT_calcs!J49</f>
        <v>63.640178848009469</v>
      </c>
      <c r="K3" s="37">
        <f>BDbDT_calcs!K49</f>
        <v>62.914590336833939</v>
      </c>
      <c r="L3" s="37">
        <f>BDbDT_calcs!L49</f>
        <v>62.221166849607791</v>
      </c>
      <c r="M3" s="37">
        <f>BDbDT_calcs!M49</f>
        <v>61.489147962478334</v>
      </c>
      <c r="N3" s="37">
        <f>BDbDT_calcs!N49</f>
        <v>60.727634920747541</v>
      </c>
      <c r="O3" s="37">
        <f>BDbDT_calcs!O49</f>
        <v>60.024196043616605</v>
      </c>
      <c r="P3" s="37">
        <f>BDbDT_calcs!P49</f>
        <v>59.24743223771241</v>
      </c>
      <c r="Q3" s="37">
        <f>BDbDT_calcs!Q49</f>
        <v>58.501899054569662</v>
      </c>
      <c r="R3" s="37">
        <f>BDbDT_calcs!R49</f>
        <v>57.7263124819738</v>
      </c>
      <c r="S3" s="37">
        <f>BDbDT_calcs!S49</f>
        <v>56.897687215393333</v>
      </c>
      <c r="T3" s="37">
        <f>BDbDT_calcs!T49</f>
        <v>56.065765000928657</v>
      </c>
      <c r="U3" s="37">
        <f>BDbDT_calcs!U49</f>
        <v>55.247000912996292</v>
      </c>
      <c r="V3" s="37">
        <f>BDbDT_calcs!V49</f>
        <v>54.457446720190532</v>
      </c>
      <c r="W3" s="37">
        <f>BDbDT_calcs!W49</f>
        <v>53.687373465855245</v>
      </c>
      <c r="X3" s="37">
        <f>BDbDT_calcs!X49</f>
        <v>52.918725338954644</v>
      </c>
      <c r="Y3" s="37">
        <f>BDbDT_calcs!Y49</f>
        <v>52.193103135651221</v>
      </c>
      <c r="Z3" s="37">
        <f>BDbDT_calcs!Z49</f>
        <v>51.467179665622133</v>
      </c>
      <c r="AA3" s="37">
        <f>BDbDT_calcs!AA49</f>
        <v>50.773740865605497</v>
      </c>
      <c r="AB3" s="37">
        <f>BDbDT_calcs!AB49</f>
        <v>50.13684935849237</v>
      </c>
    </row>
    <row r="4" spans="1:28" x14ac:dyDescent="0.25">
      <c r="A4" s="4" t="s">
        <v>217</v>
      </c>
      <c r="B4" s="37">
        <f>BDbDT_calcs!B50</f>
        <v>94.391953928524558</v>
      </c>
      <c r="C4" s="37">
        <f>BDbDT_calcs!C50</f>
        <v>93.908113618909212</v>
      </c>
      <c r="D4" s="37">
        <f>BDbDT_calcs!D50</f>
        <v>92.704206522504833</v>
      </c>
      <c r="E4" s="37">
        <f>BDbDT_calcs!E50</f>
        <v>91.504829163065878</v>
      </c>
      <c r="F4" s="37">
        <f>BDbDT_calcs!F50</f>
        <v>90.320043529025341</v>
      </c>
      <c r="G4" s="37">
        <f>BDbDT_calcs!G50</f>
        <v>89.159178085360153</v>
      </c>
      <c r="H4" s="37">
        <f>BDbDT_calcs!H50</f>
        <v>87.985293777864825</v>
      </c>
      <c r="I4" s="37">
        <f>BDbDT_calcs!I50</f>
        <v>86.953787890381435</v>
      </c>
      <c r="J4" s="37">
        <f>BDbDT_calcs!J50</f>
        <v>85.899386098898134</v>
      </c>
      <c r="K4" s="37">
        <f>BDbDT_calcs!K50</f>
        <v>84.828452717642506</v>
      </c>
      <c r="L4" s="37">
        <f>BDbDT_calcs!L50</f>
        <v>83.732048037224189</v>
      </c>
      <c r="M4" s="37">
        <f>BDbDT_calcs!M50</f>
        <v>82.610390017636732</v>
      </c>
      <c r="N4" s="37">
        <f>BDbDT_calcs!N50</f>
        <v>81.463573513179512</v>
      </c>
      <c r="O4" s="37">
        <f>BDbDT_calcs!O50</f>
        <v>80.264492152758393</v>
      </c>
      <c r="P4" s="37">
        <f>BDbDT_calcs!P50</f>
        <v>79.049421446300187</v>
      </c>
      <c r="Q4" s="37">
        <f>BDbDT_calcs!Q50</f>
        <v>77.808984241290403</v>
      </c>
      <c r="R4" s="37">
        <f>BDbDT_calcs!R50</f>
        <v>76.542770734675969</v>
      </c>
      <c r="S4" s="37">
        <f>BDbDT_calcs!S50</f>
        <v>75.181034718225249</v>
      </c>
      <c r="T4" s="37">
        <f>BDbDT_calcs!T50</f>
        <v>73.839682624071187</v>
      </c>
      <c r="U4" s="37">
        <f>BDbDT_calcs!U50</f>
        <v>72.517465161076714</v>
      </c>
      <c r="V4" s="37">
        <f>BDbDT_calcs!V50</f>
        <v>71.221787290175072</v>
      </c>
      <c r="W4" s="37">
        <f>BDbDT_calcs!W50</f>
        <v>69.968698058535367</v>
      </c>
      <c r="X4" s="37">
        <f>BDbDT_calcs!X50</f>
        <v>68.765287553692886</v>
      </c>
      <c r="Y4" s="37">
        <f>BDbDT_calcs!Y50</f>
        <v>67.592705184006078</v>
      </c>
      <c r="Z4" s="37">
        <f>BDbDT_calcs!Z50</f>
        <v>66.458275440527672</v>
      </c>
      <c r="AA4" s="37">
        <f>BDbDT_calcs!AA50</f>
        <v>65.377976097897701</v>
      </c>
      <c r="AB4" s="37">
        <f>BDbDT_calcs!AB50</f>
        <v>64.332970231976361</v>
      </c>
    </row>
    <row r="5" spans="1:28" x14ac:dyDescent="0.25">
      <c r="A5" s="4" t="s">
        <v>218</v>
      </c>
      <c r="B5" s="37">
        <f>BDbDT_calcs!B51</f>
        <v>49.006727981842076</v>
      </c>
      <c r="C5" s="37">
        <f>BDbDT_calcs!C51</f>
        <v>48.418172666200597</v>
      </c>
      <c r="D5" s="37">
        <f>BDbDT_calcs!D51</f>
        <v>47.465516954569893</v>
      </c>
      <c r="E5" s="37">
        <f>BDbDT_calcs!E51</f>
        <v>46.508353808665461</v>
      </c>
      <c r="F5" s="37">
        <f>BDbDT_calcs!F51</f>
        <v>45.547040750602278</v>
      </c>
      <c r="G5" s="37">
        <f>BDbDT_calcs!G51</f>
        <v>44.60213178118746</v>
      </c>
      <c r="H5" s="37">
        <f>BDbDT_calcs!H51</f>
        <v>43.643028798839005</v>
      </c>
      <c r="I5" s="37">
        <f>BDbDT_calcs!I51</f>
        <v>42.763889909067693</v>
      </c>
      <c r="J5" s="37">
        <f>BDbDT_calcs!J51</f>
        <v>41.899334906169969</v>
      </c>
      <c r="K5" s="37">
        <f>BDbDT_calcs!K51</f>
        <v>41.047502307391035</v>
      </c>
      <c r="L5" s="37">
        <f>BDbDT_calcs!L51</f>
        <v>40.228133207380971</v>
      </c>
      <c r="M5" s="37">
        <f>BDbDT_calcs!M51</f>
        <v>39.450667629437774</v>
      </c>
      <c r="N5" s="37">
        <f>BDbDT_calcs!N51</f>
        <v>38.684629893699928</v>
      </c>
      <c r="O5" s="37">
        <f>BDbDT_calcs!O51</f>
        <v>37.959418418060345</v>
      </c>
      <c r="P5" s="37">
        <f>BDbDT_calcs!P51</f>
        <v>37.244760053794344</v>
      </c>
      <c r="Q5" s="37">
        <f>BDbDT_calcs!Q51</f>
        <v>36.559924615257621</v>
      </c>
      <c r="R5" s="37">
        <f>BDbDT_calcs!R51</f>
        <v>35.894476171764346</v>
      </c>
      <c r="S5" s="37">
        <f>BDbDT_calcs!S51</f>
        <v>35.197290914755783</v>
      </c>
      <c r="T5" s="37">
        <f>BDbDT_calcs!T51</f>
        <v>34.519844507732067</v>
      </c>
      <c r="U5" s="37">
        <f>BDbDT_calcs!U51</f>
        <v>33.851713543065856</v>
      </c>
      <c r="V5" s="37">
        <f>BDbDT_calcs!V51</f>
        <v>33.211548286770253</v>
      </c>
      <c r="W5" s="37">
        <f>BDbDT_calcs!W51</f>
        <v>32.569525329212404</v>
      </c>
      <c r="X5" s="37">
        <f>BDbDT_calcs!X51</f>
        <v>31.953880859367935</v>
      </c>
      <c r="Y5" s="37">
        <f>BDbDT_calcs!Y51</f>
        <v>31.373520242150754</v>
      </c>
      <c r="Z5" s="37">
        <f>BDbDT_calcs!Z51</f>
        <v>30.798943727123476</v>
      </c>
      <c r="AA5" s="37">
        <f>BDbDT_calcs!AA51</f>
        <v>30.248629830509138</v>
      </c>
      <c r="AB5" s="37">
        <f>BDbDT_calcs!AB51</f>
        <v>29.702909287020439</v>
      </c>
    </row>
    <row r="6" spans="1:28" x14ac:dyDescent="0.25">
      <c r="A6" s="4" t="s">
        <v>219</v>
      </c>
      <c r="B6" s="37">
        <f>BDbDT_calcs!B52</f>
        <v>2.4302497311456781</v>
      </c>
      <c r="C6" s="37">
        <f>BDbDT_calcs!C52</f>
        <v>2.4423207243060663</v>
      </c>
      <c r="D6" s="37">
        <f>BDbDT_calcs!D52</f>
        <v>2.4352969513439224</v>
      </c>
      <c r="E6" s="37">
        <f>BDbDT_calcs!E52</f>
        <v>2.431374065752129</v>
      </c>
      <c r="F6" s="37">
        <f>BDbDT_calcs!F52</f>
        <v>2.4277476472850834</v>
      </c>
      <c r="G6" s="37">
        <f>BDbDT_calcs!G52</f>
        <v>2.4244274601492495</v>
      </c>
      <c r="H6" s="37">
        <f>BDbDT_calcs!H52</f>
        <v>2.4214364318794561</v>
      </c>
      <c r="I6" s="37">
        <f>BDbDT_calcs!I52</f>
        <v>2.4218131578595807</v>
      </c>
      <c r="J6" s="37">
        <f>BDbDT_calcs!J52</f>
        <v>2.4225890567426482</v>
      </c>
      <c r="K6" s="37">
        <f>BDbDT_calcs!K52</f>
        <v>2.4291017578994643</v>
      </c>
      <c r="L6" s="37">
        <f>BDbDT_calcs!L52</f>
        <v>2.430507697374412</v>
      </c>
      <c r="M6" s="37">
        <f>BDbDT_calcs!M52</f>
        <v>2.4322527960598848</v>
      </c>
      <c r="N6" s="37">
        <f>BDbDT_calcs!N52</f>
        <v>2.4343429442198681</v>
      </c>
      <c r="O6" s="37">
        <f>BDbDT_calcs!O52</f>
        <v>2.4367843105306832</v>
      </c>
      <c r="P6" s="37">
        <f>BDbDT_calcs!P52</f>
        <v>2.4369197798663347</v>
      </c>
      <c r="Q6" s="37">
        <f>BDbDT_calcs!Q52</f>
        <v>2.4400767241599315</v>
      </c>
      <c r="R6" s="37">
        <f>BDbDT_calcs!R52</f>
        <v>2.4382927270023234</v>
      </c>
      <c r="S6" s="37">
        <f>BDbDT_calcs!S52</f>
        <v>2.4366925328446434</v>
      </c>
      <c r="T6" s="37">
        <f>BDbDT_calcs!T52</f>
        <v>2.4380527301074455</v>
      </c>
      <c r="U6" s="37">
        <f>BDbDT_calcs!U52</f>
        <v>2.4344795155000258</v>
      </c>
      <c r="V6" s="37">
        <f>BDbDT_calcs!V52</f>
        <v>2.4338172815605437</v>
      </c>
      <c r="W6" s="37">
        <f>BDbDT_calcs!W52</f>
        <v>2.4334088937038145</v>
      </c>
      <c r="X6" s="37">
        <f>BDbDT_calcs!X52</f>
        <v>2.4306320585250862</v>
      </c>
      <c r="Y6" s="37">
        <f>BDbDT_calcs!Y52</f>
        <v>2.4332308466243782</v>
      </c>
      <c r="Z6" s="37">
        <f>BDbDT_calcs!Z52</f>
        <v>2.4308352777692162</v>
      </c>
      <c r="AA6" s="37">
        <f>BDbDT_calcs!AA52</f>
        <v>2.4285891816162417</v>
      </c>
      <c r="AB6" s="37">
        <f>BDbDT_calcs!AB52</f>
        <v>2.4264599446053987</v>
      </c>
    </row>
    <row r="7" spans="1:28" x14ac:dyDescent="0.25">
      <c r="A7" s="4" t="s">
        <v>220</v>
      </c>
      <c r="B7" s="37">
        <f>BDbDT_calcs!B53</f>
        <v>12.582847519501508</v>
      </c>
      <c r="C7" s="37">
        <f>BDbDT_calcs!C53</f>
        <v>12.709356234376573</v>
      </c>
      <c r="D7" s="37">
        <f>BDbDT_calcs!D53</f>
        <v>12.711443641191579</v>
      </c>
      <c r="E7" s="37">
        <f>BDbDT_calcs!E53</f>
        <v>12.731057822498391</v>
      </c>
      <c r="F7" s="37">
        <f>BDbDT_calcs!F53</f>
        <v>12.743585807363592</v>
      </c>
      <c r="G7" s="37">
        <f>BDbDT_calcs!G53</f>
        <v>12.741144814026413</v>
      </c>
      <c r="H7" s="37">
        <f>BDbDT_calcs!H53</f>
        <v>12.772472070137448</v>
      </c>
      <c r="I7" s="37">
        <f>BDbDT_calcs!I53</f>
        <v>12.789015446739224</v>
      </c>
      <c r="J7" s="37">
        <f>BDbDT_calcs!J53</f>
        <v>12.815527702511927</v>
      </c>
      <c r="K7" s="37">
        <f>BDbDT_calcs!K53</f>
        <v>12.819695586531802</v>
      </c>
      <c r="L7" s="37">
        <f>BDbDT_calcs!L53</f>
        <v>12.833544898021575</v>
      </c>
      <c r="M7" s="37">
        <f>BDbDT_calcs!M53</f>
        <v>12.825458725090593</v>
      </c>
      <c r="N7" s="37">
        <f>BDbDT_calcs!N53</f>
        <v>12.835046359894742</v>
      </c>
      <c r="O7" s="37">
        <f>BDbDT_calcs!O53</f>
        <v>12.830819679374153</v>
      </c>
      <c r="P7" s="37">
        <f>BDbDT_calcs!P53</f>
        <v>12.812946635027393</v>
      </c>
      <c r="Q7" s="37">
        <f>BDbDT_calcs!Q53</f>
        <v>12.781553607933086</v>
      </c>
      <c r="R7" s="37">
        <f>BDbDT_calcs!R53</f>
        <v>12.752269576308198</v>
      </c>
      <c r="S7" s="37">
        <f>BDbDT_calcs!S53</f>
        <v>12.702568992383538</v>
      </c>
      <c r="T7" s="37">
        <f>BDbDT_calcs!T53</f>
        <v>12.624107603522519</v>
      </c>
      <c r="U7" s="37">
        <f>BDbDT_calcs!U53</f>
        <v>12.563167580939586</v>
      </c>
      <c r="V7" s="37">
        <f>BDbDT_calcs!V53</f>
        <v>12.488798502854319</v>
      </c>
      <c r="W7" s="37">
        <f>BDbDT_calcs!W53</f>
        <v>12.416217468587023</v>
      </c>
      <c r="X7" s="37">
        <f>BDbDT_calcs!X53</f>
        <v>12.360430033273413</v>
      </c>
      <c r="Y7" s="37">
        <f>BDbDT_calcs!Y53</f>
        <v>12.283271337662841</v>
      </c>
      <c r="Z7" s="37">
        <f>BDbDT_calcs!Z53</f>
        <v>12.23009922755911</v>
      </c>
      <c r="AA7" s="37">
        <f>BDbDT_calcs!AA53</f>
        <v>12.155337377263198</v>
      </c>
      <c r="AB7" s="37">
        <f>BDbDT_calcs!AB53</f>
        <v>12.104068183973517</v>
      </c>
    </row>
    <row r="8" spans="1:28" x14ac:dyDescent="0.25">
      <c r="A8" s="4" t="s">
        <v>221</v>
      </c>
      <c r="B8" s="37">
        <f>BDbDT_calcs!B54</f>
        <v>17.333627504590002</v>
      </c>
      <c r="C8" s="37">
        <f>BDbDT_calcs!C54</f>
        <v>17.431549401525793</v>
      </c>
      <c r="D8" s="37">
        <f>BDbDT_calcs!D54</f>
        <v>17.402110997475887</v>
      </c>
      <c r="E8" s="37">
        <f>BDbDT_calcs!E54</f>
        <v>17.379087593404279</v>
      </c>
      <c r="F8" s="37">
        <f>BDbDT_calcs!F54</f>
        <v>17.371430054847007</v>
      </c>
      <c r="G8" s="37">
        <f>BDbDT_calcs!G54</f>
        <v>17.348106310186452</v>
      </c>
      <c r="H8" s="37">
        <f>BDbDT_calcs!H54</f>
        <v>17.322748431320743</v>
      </c>
      <c r="I8" s="37">
        <f>BDbDT_calcs!I54</f>
        <v>17.317157824879178</v>
      </c>
      <c r="J8" s="37">
        <f>BDbDT_calcs!J54</f>
        <v>17.305797779884436</v>
      </c>
      <c r="K8" s="37">
        <f>BDbDT_calcs!K54</f>
        <v>17.288207855566334</v>
      </c>
      <c r="L8" s="37">
        <f>BDbDT_calcs!L54</f>
        <v>17.26023459173981</v>
      </c>
      <c r="M8" s="37">
        <f>BDbDT_calcs!M54</f>
        <v>17.222065829843938</v>
      </c>
      <c r="N8" s="37">
        <f>BDbDT_calcs!N54</f>
        <v>17.173860831746399</v>
      </c>
      <c r="O8" s="37">
        <f>BDbDT_calcs!O54</f>
        <v>17.115767333235762</v>
      </c>
      <c r="P8" s="37">
        <f>BDbDT_calcs!P54</f>
        <v>17.035138928134092</v>
      </c>
      <c r="Q8" s="37">
        <f>BDbDT_calcs!Q54</f>
        <v>16.944881435977642</v>
      </c>
      <c r="R8" s="37">
        <f>BDbDT_calcs!R54</f>
        <v>16.832340185203297</v>
      </c>
      <c r="S8" s="37">
        <f>BDbDT_calcs!S54</f>
        <v>16.703562619468286</v>
      </c>
      <c r="T8" s="37">
        <f>BDbDT_calcs!T54</f>
        <v>16.561203994252867</v>
      </c>
      <c r="U8" s="37">
        <f>BDbDT_calcs!U54</f>
        <v>16.405249596196413</v>
      </c>
      <c r="V8" s="37">
        <f>BDbDT_calcs!V54</f>
        <v>16.252285564387297</v>
      </c>
      <c r="W8" s="37">
        <f>BDbDT_calcs!W54</f>
        <v>16.081271976950255</v>
      </c>
      <c r="X8" s="37">
        <f>BDbDT_calcs!X54</f>
        <v>15.933521066435414</v>
      </c>
      <c r="Y8" s="37">
        <f>BDbDT_calcs!Y54</f>
        <v>15.78388784875048</v>
      </c>
      <c r="Z8" s="37">
        <f>BDbDT_calcs!Z54</f>
        <v>15.636272644170864</v>
      </c>
      <c r="AA8" s="37">
        <f>BDbDT_calcs!AA54</f>
        <v>15.494528636163482</v>
      </c>
      <c r="AB8" s="37">
        <f>BDbDT_calcs!AB54</f>
        <v>15.362471485683081</v>
      </c>
    </row>
    <row r="9" spans="1:28" x14ac:dyDescent="0.25">
      <c r="A9" s="4" t="s">
        <v>222</v>
      </c>
      <c r="B9" s="37">
        <f>BDbDT_calcs!B55</f>
        <v>135.1598122107761</v>
      </c>
      <c r="C9" s="37">
        <f>BDbDT_calcs!C55</f>
        <v>134.03428490506681</v>
      </c>
      <c r="D9" s="37">
        <f>BDbDT_calcs!D55</f>
        <v>131.83866141562677</v>
      </c>
      <c r="E9" s="37">
        <f>BDbDT_calcs!E55</f>
        <v>129.66200131538506</v>
      </c>
      <c r="F9" s="37">
        <f>BDbDT_calcs!F55</f>
        <v>127.45404761463318</v>
      </c>
      <c r="G9" s="37">
        <f>BDbDT_calcs!G55</f>
        <v>125.30644921463937</v>
      </c>
      <c r="H9" s="37">
        <f>BDbDT_calcs!H55</f>
        <v>123.17876836424253</v>
      </c>
      <c r="I9" s="37">
        <f>BDbDT_calcs!I55</f>
        <v>121.23233402942152</v>
      </c>
      <c r="J9" s="37">
        <f>BDbDT_calcs!J55</f>
        <v>119.3026833443741</v>
      </c>
      <c r="K9" s="37">
        <f>BDbDT_calcs!K55</f>
        <v>117.37515450497347</v>
      </c>
      <c r="L9" s="37">
        <f>BDbDT_calcs!L55</f>
        <v>115.46931797572844</v>
      </c>
      <c r="M9" s="37">
        <f>BDbDT_calcs!M55</f>
        <v>113.57480857477744</v>
      </c>
      <c r="N9" s="37">
        <f>BDbDT_calcs!N55</f>
        <v>111.71071127747176</v>
      </c>
      <c r="O9" s="37">
        <f>BDbDT_calcs!O55</f>
        <v>109.83718388984852</v>
      </c>
      <c r="P9" s="37">
        <f>BDbDT_calcs!P55</f>
        <v>107.98296593956186</v>
      </c>
      <c r="Q9" s="37">
        <f>BDbDT_calcs!Q55</f>
        <v>106.1470538626844</v>
      </c>
      <c r="R9" s="37">
        <f>BDbDT_calcs!R55</f>
        <v>104.33802546312675</v>
      </c>
      <c r="S9" s="37">
        <f>BDbDT_calcs!S55</f>
        <v>102.4069495428493</v>
      </c>
      <c r="T9" s="37">
        <f>BDbDT_calcs!T55</f>
        <v>100.5234451947515</v>
      </c>
      <c r="U9" s="37">
        <f>BDbDT_calcs!U55</f>
        <v>98.704721738170718</v>
      </c>
      <c r="V9" s="37">
        <f>BDbDT_calcs!V55</f>
        <v>96.929312697083063</v>
      </c>
      <c r="W9" s="37">
        <f>BDbDT_calcs!W55</f>
        <v>95.242560627221678</v>
      </c>
      <c r="X9" s="37">
        <f>BDbDT_calcs!X55</f>
        <v>93.59445567440109</v>
      </c>
      <c r="Y9" s="37">
        <f>BDbDT_calcs!Y55</f>
        <v>92.01180126410145</v>
      </c>
      <c r="Z9" s="37">
        <f>BDbDT_calcs!Z55</f>
        <v>90.483047658466248</v>
      </c>
      <c r="AA9" s="37">
        <f>BDbDT_calcs!AA55</f>
        <v>88.996851476764263</v>
      </c>
      <c r="AB9" s="37">
        <f>BDbDT_calcs!AB55</f>
        <v>87.560830413533012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13672.796691441603</v>
      </c>
      <c r="C2" s="37">
        <f>BDbDT_calcs!C58</f>
        <v>13942.416900949178</v>
      </c>
      <c r="D2" s="37">
        <f>BDbDT_calcs!D58</f>
        <v>14100.004804357832</v>
      </c>
      <c r="E2" s="37">
        <f>BDbDT_calcs!E58</f>
        <v>14255.912684301233</v>
      </c>
      <c r="F2" s="37">
        <f>BDbDT_calcs!F58</f>
        <v>14411.382572592625</v>
      </c>
      <c r="G2" s="37">
        <f>BDbDT_calcs!G58</f>
        <v>14566.844795416497</v>
      </c>
      <c r="H2" s="37">
        <f>BDbDT_calcs!H58</f>
        <v>14721.308986289287</v>
      </c>
      <c r="I2" s="37">
        <f>BDbDT_calcs!I58</f>
        <v>14892.458810658034</v>
      </c>
      <c r="J2" s="37">
        <f>BDbDT_calcs!J58</f>
        <v>15060.205387471506</v>
      </c>
      <c r="K2" s="37">
        <f>BDbDT_calcs!K58</f>
        <v>15224.333651198653</v>
      </c>
      <c r="L2" s="37">
        <f>BDbDT_calcs!L58</f>
        <v>15383.607757613536</v>
      </c>
      <c r="M2" s="37">
        <f>BDbDT_calcs!M58</f>
        <v>15537.829592746424</v>
      </c>
      <c r="N2" s="37">
        <f>BDbDT_calcs!N58</f>
        <v>15685.474996669871</v>
      </c>
      <c r="O2" s="37">
        <f>BDbDT_calcs!O58</f>
        <v>15826.026035699013</v>
      </c>
      <c r="P2" s="37">
        <f>BDbDT_calcs!P58</f>
        <v>15957.530779022491</v>
      </c>
      <c r="Q2" s="37">
        <f>BDbDT_calcs!Q58</f>
        <v>16079.752645971212</v>
      </c>
      <c r="R2" s="37">
        <f>BDbDT_calcs!R58</f>
        <v>16190.343256798838</v>
      </c>
      <c r="S2" s="37">
        <f>BDbDT_calcs!S58</f>
        <v>16270.689610635698</v>
      </c>
      <c r="T2" s="37">
        <f>BDbDT_calcs!T58</f>
        <v>16338.65683527898</v>
      </c>
      <c r="U2" s="37">
        <f>BDbDT_calcs!U58</f>
        <v>16395.217052346918</v>
      </c>
      <c r="V2" s="37">
        <f>BDbDT_calcs!V58</f>
        <v>16436.522622479682</v>
      </c>
      <c r="W2" s="37">
        <f>BDbDT_calcs!W58</f>
        <v>16463.64265386415</v>
      </c>
      <c r="X2" s="37">
        <f>BDbDT_calcs!X58</f>
        <v>16475.761707795969</v>
      </c>
      <c r="Y2" s="37">
        <f>BDbDT_calcs!Y58</f>
        <v>16479.750031485586</v>
      </c>
      <c r="Z2" s="37">
        <f>BDbDT_calcs!Z58</f>
        <v>16469.636749270037</v>
      </c>
      <c r="AA2" s="37">
        <f>BDbDT_calcs!AA58</f>
        <v>16446.505621520595</v>
      </c>
      <c r="AB2" s="37">
        <f>BDbDT_calcs!AB58</f>
        <v>16411.905364828341</v>
      </c>
    </row>
    <row r="3" spans="1:28" x14ac:dyDescent="0.25">
      <c r="A3" s="4" t="s">
        <v>216</v>
      </c>
      <c r="B3" s="37">
        <f>BDbDT_calcs!B59</f>
        <v>12957.390981324605</v>
      </c>
      <c r="C3" s="37">
        <f>BDbDT_calcs!C59</f>
        <v>13178.681232403313</v>
      </c>
      <c r="D3" s="37">
        <f>BDbDT_calcs!D59</f>
        <v>13295.185094922634</v>
      </c>
      <c r="E3" s="37">
        <f>BDbDT_calcs!E59</f>
        <v>13417.293605138761</v>
      </c>
      <c r="F3" s="37">
        <f>BDbDT_calcs!F59</f>
        <v>13548.691989667053</v>
      </c>
      <c r="G3" s="37">
        <f>BDbDT_calcs!G59</f>
        <v>13689.949081738565</v>
      </c>
      <c r="H3" s="37">
        <f>BDbDT_calcs!H59</f>
        <v>13842.172999200515</v>
      </c>
      <c r="I3" s="37">
        <f>BDbDT_calcs!I59</f>
        <v>14021.343422112219</v>
      </c>
      <c r="J3" s="37">
        <f>BDbDT_calcs!J59</f>
        <v>14209.757147669843</v>
      </c>
      <c r="K3" s="37">
        <f>BDbDT_calcs!K59</f>
        <v>14403.717905756717</v>
      </c>
      <c r="L3" s="37">
        <f>BDbDT_calcs!L59</f>
        <v>14602.89105019686</v>
      </c>
      <c r="M3" s="37">
        <f>BDbDT_calcs!M59</f>
        <v>14806.356322042331</v>
      </c>
      <c r="N3" s="37">
        <f>BDbDT_calcs!N59</f>
        <v>15010.938564714903</v>
      </c>
      <c r="O3" s="37">
        <f>BDbDT_calcs!O59</f>
        <v>15213.652347467816</v>
      </c>
      <c r="P3" s="37">
        <f>BDbDT_calcs!P59</f>
        <v>15413.86875374412</v>
      </c>
      <c r="Q3" s="37">
        <f>BDbDT_calcs!Q59</f>
        <v>15607.391544553435</v>
      </c>
      <c r="R3" s="37">
        <f>BDbDT_calcs!R59</f>
        <v>15793.107048260772</v>
      </c>
      <c r="S3" s="37">
        <f>BDbDT_calcs!S59</f>
        <v>15949.746292215321</v>
      </c>
      <c r="T3" s="37">
        <f>BDbDT_calcs!T59</f>
        <v>16094.345374920276</v>
      </c>
      <c r="U3" s="37">
        <f>BDbDT_calcs!U59</f>
        <v>16225.532273096716</v>
      </c>
      <c r="V3" s="37">
        <f>BDbDT_calcs!V59</f>
        <v>16339.758985391303</v>
      </c>
      <c r="W3" s="37">
        <f>BDbDT_calcs!W59</f>
        <v>16433.879299949924</v>
      </c>
      <c r="X3" s="37">
        <f>BDbDT_calcs!X59</f>
        <v>16508.913655638695</v>
      </c>
      <c r="Y3" s="37">
        <f>BDbDT_calcs!Y59</f>
        <v>16572.665965435466</v>
      </c>
      <c r="Z3" s="37">
        <f>BDbDT_calcs!Z59</f>
        <v>16618.088764658041</v>
      </c>
      <c r="AA3" s="37">
        <f>BDbDT_calcs!AA59</f>
        <v>16642.739014008032</v>
      </c>
      <c r="AB3" s="37">
        <f>BDbDT_calcs!AB59</f>
        <v>16647.024304444862</v>
      </c>
    </row>
    <row r="4" spans="1:28" x14ac:dyDescent="0.25">
      <c r="A4" s="4" t="s">
        <v>217</v>
      </c>
      <c r="B4" s="37">
        <f>BDbDT_calcs!B60</f>
        <v>22446.153859907776</v>
      </c>
      <c r="C4" s="37">
        <f>BDbDT_calcs!C60</f>
        <v>22855.43973599542</v>
      </c>
      <c r="D4" s="37">
        <f>BDbDT_calcs!D60</f>
        <v>23080.15532736354</v>
      </c>
      <c r="E4" s="37">
        <f>BDbDT_calcs!E60</f>
        <v>23306.051770262475</v>
      </c>
      <c r="F4" s="37">
        <f>BDbDT_calcs!F60</f>
        <v>23537.868309290341</v>
      </c>
      <c r="G4" s="37">
        <f>BDbDT_calcs!G60</f>
        <v>23775.624879190305</v>
      </c>
      <c r="H4" s="37">
        <f>BDbDT_calcs!H60</f>
        <v>24020.115439685804</v>
      </c>
      <c r="I4" s="37">
        <f>BDbDT_calcs!I60</f>
        <v>24299.165633041233</v>
      </c>
      <c r="J4" s="37">
        <f>BDbDT_calcs!J60</f>
        <v>24581.318084969836</v>
      </c>
      <c r="K4" s="37">
        <f>BDbDT_calcs!K60</f>
        <v>24862.242044349212</v>
      </c>
      <c r="L4" s="37">
        <f>BDbDT_calcs!L60</f>
        <v>25140.67096226383</v>
      </c>
      <c r="M4" s="37">
        <f>BDbDT_calcs!M60</f>
        <v>25415.691411051273</v>
      </c>
      <c r="N4" s="37">
        <f>BDbDT_calcs!N60</f>
        <v>25682.774713748746</v>
      </c>
      <c r="O4" s="37">
        <f>BDbDT_calcs!O60</f>
        <v>25939.482910272836</v>
      </c>
      <c r="P4" s="37">
        <f>BDbDT_calcs!P60</f>
        <v>26182.605152953456</v>
      </c>
      <c r="Q4" s="37">
        <f>BDbDT_calcs!Q60</f>
        <v>26408.77233226339</v>
      </c>
      <c r="R4" s="37">
        <f>BDbDT_calcs!R60</f>
        <v>26614.77903668338</v>
      </c>
      <c r="S4" s="37">
        <f>BDbDT_calcs!S60</f>
        <v>26767.495635670464</v>
      </c>
      <c r="T4" s="37">
        <f>BDbDT_calcs!T60</f>
        <v>26896.171166690812</v>
      </c>
      <c r="U4" s="37">
        <f>BDbDT_calcs!U60</f>
        <v>27000.944518083714</v>
      </c>
      <c r="V4" s="37">
        <f>BDbDT_calcs!V60</f>
        <v>27074.807300918455</v>
      </c>
      <c r="W4" s="37">
        <f>BDbDT_calcs!W60</f>
        <v>27115.936363575729</v>
      </c>
      <c r="X4" s="37">
        <f>BDbDT_calcs!X60</f>
        <v>27125.117920675257</v>
      </c>
      <c r="Y4" s="37">
        <f>BDbDT_calcs!Y60</f>
        <v>27116.360386326021</v>
      </c>
      <c r="Z4" s="37">
        <f>BDbDT_calcs!Z60</f>
        <v>27077.637230495533</v>
      </c>
      <c r="AA4" s="37">
        <f>BDbDT_calcs!AA60</f>
        <v>27007.446183598135</v>
      </c>
      <c r="AB4" s="37">
        <f>BDbDT_calcs!AB60</f>
        <v>26908.260108723804</v>
      </c>
    </row>
    <row r="5" spans="1:28" x14ac:dyDescent="0.25">
      <c r="A5" s="4" t="s">
        <v>218</v>
      </c>
      <c r="B5" s="37">
        <f>BDbDT_calcs!B61</f>
        <v>3788.7920625961806</v>
      </c>
      <c r="C5" s="37">
        <f>BDbDT_calcs!C61</f>
        <v>3851.6315382915632</v>
      </c>
      <c r="D5" s="37">
        <f>BDbDT_calcs!D61</f>
        <v>3884.0199557791298</v>
      </c>
      <c r="E5" s="37">
        <f>BDbDT_calcs!E61</f>
        <v>3916.5131280492633</v>
      </c>
      <c r="F5" s="37">
        <f>BDbDT_calcs!F61</f>
        <v>3950.389686769849</v>
      </c>
      <c r="G5" s="37">
        <f>BDbDT_calcs!G61</f>
        <v>3985.7435416885746</v>
      </c>
      <c r="H5" s="37">
        <f>BDbDT_calcs!H61</f>
        <v>4022.4664141101589</v>
      </c>
      <c r="I5" s="37">
        <f>BDbDT_calcs!I61</f>
        <v>4065.7818999162118</v>
      </c>
      <c r="J5" s="37">
        <f>BDbDT_calcs!J61</f>
        <v>4110.5043805383684</v>
      </c>
      <c r="K5" s="37">
        <f>BDbDT_calcs!K61</f>
        <v>4156.3711836898283</v>
      </c>
      <c r="L5" s="37">
        <f>BDbDT_calcs!L61</f>
        <v>4203.3893810985564</v>
      </c>
      <c r="M5" s="37">
        <f>BDbDT_calcs!M61</f>
        <v>4251.3455871060751</v>
      </c>
      <c r="N5" s="37">
        <f>BDbDT_calcs!N61</f>
        <v>4300.4446696911882</v>
      </c>
      <c r="O5" s="37">
        <f>BDbDT_calcs!O61</f>
        <v>4349.6025448911678</v>
      </c>
      <c r="P5" s="37">
        <f>BDbDT_calcs!P61</f>
        <v>4399.3052421547573</v>
      </c>
      <c r="Q5" s="37">
        <f>BDbDT_calcs!Q61</f>
        <v>4448.6655712844104</v>
      </c>
      <c r="R5" s="37">
        <f>BDbDT_calcs!R61</f>
        <v>4497.5866980733872</v>
      </c>
      <c r="S5" s="37">
        <f>BDbDT_calcs!S61</f>
        <v>4540.8318319884056</v>
      </c>
      <c r="T5" s="37">
        <f>BDbDT_calcs!T61</f>
        <v>4582.6749445630103</v>
      </c>
      <c r="U5" s="37">
        <f>BDbDT_calcs!U61</f>
        <v>4623.1949020973288</v>
      </c>
      <c r="V5" s="37">
        <f>BDbDT_calcs!V61</f>
        <v>4661.8607380543735</v>
      </c>
      <c r="W5" s="37">
        <f>BDbDT_calcs!W61</f>
        <v>4697.8190802318777</v>
      </c>
      <c r="X5" s="37">
        <f>BDbDT_calcs!X61</f>
        <v>4730.7691790393274</v>
      </c>
      <c r="Y5" s="37">
        <f>BDbDT_calcs!Y61</f>
        <v>4761.9181047393386</v>
      </c>
      <c r="Z5" s="37">
        <f>BDbDT_calcs!Z61</f>
        <v>4789.961329147136</v>
      </c>
      <c r="AA5" s="37">
        <f>BDbDT_calcs!AA61</f>
        <v>4814.871816221159</v>
      </c>
      <c r="AB5" s="37">
        <f>BDbDT_calcs!AB61</f>
        <v>4836.1650577799865</v>
      </c>
    </row>
    <row r="6" spans="1:28" x14ac:dyDescent="0.25">
      <c r="A6" s="4" t="s">
        <v>219</v>
      </c>
      <c r="B6" s="37">
        <f>BDbDT_calcs!B62</f>
        <v>343.94102263564963</v>
      </c>
      <c r="C6" s="37">
        <f>BDbDT_calcs!C62</f>
        <v>352.55917288993197</v>
      </c>
      <c r="D6" s="37">
        <f>BDbDT_calcs!D62</f>
        <v>358.63188483701191</v>
      </c>
      <c r="E6" s="37">
        <f>BDbDT_calcs!E62</f>
        <v>365.1834519583918</v>
      </c>
      <c r="F6" s="37">
        <f>BDbDT_calcs!F62</f>
        <v>372.31383005016085</v>
      </c>
      <c r="G6" s="37">
        <f>BDbDT_calcs!G62</f>
        <v>380.00900767863817</v>
      </c>
      <c r="H6" s="37">
        <f>BDbDT_calcs!H62</f>
        <v>388.28816387214931</v>
      </c>
      <c r="I6" s="37">
        <f>BDbDT_calcs!I62</f>
        <v>397.64424633315843</v>
      </c>
      <c r="J6" s="37">
        <f>BDbDT_calcs!J62</f>
        <v>407.39736689797013</v>
      </c>
      <c r="K6" s="37">
        <f>BDbDT_calcs!K62</f>
        <v>417.4642907405414</v>
      </c>
      <c r="L6" s="37">
        <f>BDbDT_calcs!L62</f>
        <v>427.95009171428279</v>
      </c>
      <c r="M6" s="37">
        <f>BDbDT_calcs!M62</f>
        <v>438.7703416927522</v>
      </c>
      <c r="N6" s="37">
        <f>BDbDT_calcs!N62</f>
        <v>449.86871852786618</v>
      </c>
      <c r="O6" s="37">
        <f>BDbDT_calcs!O62</f>
        <v>461.16610149360912</v>
      </c>
      <c r="P6" s="37">
        <f>BDbDT_calcs!P62</f>
        <v>472.62143647711162</v>
      </c>
      <c r="Q6" s="37">
        <f>BDbDT_calcs!Q62</f>
        <v>484.14570141834571</v>
      </c>
      <c r="R6" s="37">
        <f>BDbDT_calcs!R62</f>
        <v>495.69539095074674</v>
      </c>
      <c r="S6" s="37">
        <f>BDbDT_calcs!S62</f>
        <v>506.60023175829082</v>
      </c>
      <c r="T6" s="37">
        <f>BDbDT_calcs!T62</f>
        <v>517.42879695742113</v>
      </c>
      <c r="U6" s="37">
        <f>BDbDT_calcs!U62</f>
        <v>528.07024730093258</v>
      </c>
      <c r="V6" s="37">
        <f>BDbDT_calcs!V62</f>
        <v>538.54330984732235</v>
      </c>
      <c r="W6" s="37">
        <f>BDbDT_calcs!W62</f>
        <v>548.81291467776396</v>
      </c>
      <c r="X6" s="37">
        <f>BDbDT_calcs!X62</f>
        <v>558.92630096376013</v>
      </c>
      <c r="Y6" s="37">
        <f>BDbDT_calcs!Y62</f>
        <v>568.84705488257737</v>
      </c>
      <c r="Z6" s="37">
        <f>BDbDT_calcs!Z62</f>
        <v>578.59281467080177</v>
      </c>
      <c r="AA6" s="37">
        <f>BDbDT_calcs!AA62</f>
        <v>588.15711283820156</v>
      </c>
      <c r="AB6" s="37">
        <f>BDbDT_calcs!AB62</f>
        <v>597.49722412557219</v>
      </c>
    </row>
    <row r="7" spans="1:28" x14ac:dyDescent="0.25">
      <c r="A7" s="4" t="s">
        <v>220</v>
      </c>
      <c r="B7" s="37">
        <f>BDbDT_calcs!B63</f>
        <v>554.81405337469994</v>
      </c>
      <c r="C7" s="37">
        <f>BDbDT_calcs!C63</f>
        <v>567.91978318902977</v>
      </c>
      <c r="D7" s="37">
        <f>BDbDT_calcs!D63</f>
        <v>577.01375350096839</v>
      </c>
      <c r="E7" s="37">
        <f>BDbDT_calcs!E63</f>
        <v>587.10424927990334</v>
      </c>
      <c r="F7" s="37">
        <f>BDbDT_calcs!F63</f>
        <v>597.21299344674844</v>
      </c>
      <c r="G7" s="37">
        <f>BDbDT_calcs!G63</f>
        <v>608.18919231149857</v>
      </c>
      <c r="H7" s="37">
        <f>BDbDT_calcs!H63</f>
        <v>619.47294866274456</v>
      </c>
      <c r="I7" s="37">
        <f>BDbDT_calcs!I63</f>
        <v>631.72925391990179</v>
      </c>
      <c r="J7" s="37">
        <f>BDbDT_calcs!J63</f>
        <v>644.23378294191252</v>
      </c>
      <c r="K7" s="37">
        <f>BDbDT_calcs!K63</f>
        <v>657.67742264925153</v>
      </c>
      <c r="L7" s="37">
        <f>BDbDT_calcs!L63</f>
        <v>671.42413446408545</v>
      </c>
      <c r="M7" s="37">
        <f>BDbDT_calcs!M63</f>
        <v>685.67664750828942</v>
      </c>
      <c r="N7" s="37">
        <f>BDbDT_calcs!N63</f>
        <v>700.13133094173384</v>
      </c>
      <c r="O7" s="37">
        <f>BDbDT_calcs!O63</f>
        <v>714.84203811745965</v>
      </c>
      <c r="P7" s="37">
        <f>BDbDT_calcs!P63</f>
        <v>729.99419621367042</v>
      </c>
      <c r="Q7" s="37">
        <f>BDbDT_calcs!Q63</f>
        <v>745.48937167732583</v>
      </c>
      <c r="R7" s="37">
        <f>BDbDT_calcs!R63</f>
        <v>761.18312633589687</v>
      </c>
      <c r="S7" s="37">
        <f>BDbDT_calcs!S63</f>
        <v>775.94748942938247</v>
      </c>
      <c r="T7" s="37">
        <f>BDbDT_calcs!T63</f>
        <v>790.85641131591171</v>
      </c>
      <c r="U7" s="37">
        <f>BDbDT_calcs!U63</f>
        <v>805.70143190231124</v>
      </c>
      <c r="V7" s="37">
        <f>BDbDT_calcs!V63</f>
        <v>820.25081735536071</v>
      </c>
      <c r="W7" s="37">
        <f>BDbDT_calcs!W63</f>
        <v>835.00587810089087</v>
      </c>
      <c r="X7" s="37">
        <f>BDbDT_calcs!X63</f>
        <v>849.56291518364299</v>
      </c>
      <c r="Y7" s="37">
        <f>BDbDT_calcs!Y63</f>
        <v>864.16337439219342</v>
      </c>
      <c r="Z7" s="37">
        <f>BDbDT_calcs!Z63</f>
        <v>878.47465674618684</v>
      </c>
      <c r="AA7" s="37">
        <f>BDbDT_calcs!AA63</f>
        <v>892.62652249240602</v>
      </c>
      <c r="AB7" s="37">
        <f>BDbDT_calcs!AB63</f>
        <v>906.75389199543542</v>
      </c>
    </row>
    <row r="8" spans="1:28" x14ac:dyDescent="0.25">
      <c r="A8" s="4" t="s">
        <v>221</v>
      </c>
      <c r="B8" s="37">
        <f>BDbDT_calcs!B64</f>
        <v>1128.6037236716777</v>
      </c>
      <c r="C8" s="37">
        <f>BDbDT_calcs!C64</f>
        <v>1170.1283443089553</v>
      </c>
      <c r="D8" s="37">
        <f>BDbDT_calcs!D64</f>
        <v>1203.089891584722</v>
      </c>
      <c r="E8" s="37">
        <f>BDbDT_calcs!E64</f>
        <v>1236.6823054973715</v>
      </c>
      <c r="F8" s="37">
        <f>BDbDT_calcs!F64</f>
        <v>1270.9135187138947</v>
      </c>
      <c r="G8" s="37">
        <f>BDbDT_calcs!G64</f>
        <v>1305.9322814244679</v>
      </c>
      <c r="H8" s="37">
        <f>BDbDT_calcs!H64</f>
        <v>1342.1556751567548</v>
      </c>
      <c r="I8" s="37">
        <f>BDbDT_calcs!I64</f>
        <v>1381.3041634007734</v>
      </c>
      <c r="J8" s="37">
        <f>BDbDT_calcs!J64</f>
        <v>1421.3967683686242</v>
      </c>
      <c r="K8" s="37">
        <f>BDbDT_calcs!K64</f>
        <v>1462.7564356592477</v>
      </c>
      <c r="L8" s="37">
        <f>BDbDT_calcs!L64</f>
        <v>1505.6255311112404</v>
      </c>
      <c r="M8" s="37">
        <f>BDbDT_calcs!M64</f>
        <v>1549.629280109139</v>
      </c>
      <c r="N8" s="37">
        <f>BDbDT_calcs!N64</f>
        <v>1595.1652261708502</v>
      </c>
      <c r="O8" s="37">
        <f>BDbDT_calcs!O64</f>
        <v>1641.9615180968478</v>
      </c>
      <c r="P8" s="37">
        <f>BDbDT_calcs!P64</f>
        <v>1689.9410767535649</v>
      </c>
      <c r="Q8" s="37">
        <f>BDbDT_calcs!Q64</f>
        <v>1739.1741197169665</v>
      </c>
      <c r="R8" s="37">
        <f>BDbDT_calcs!R64</f>
        <v>1789.3060904183942</v>
      </c>
      <c r="S8" s="37">
        <f>BDbDT_calcs!S64</f>
        <v>1838.2005326253588</v>
      </c>
      <c r="T8" s="37">
        <f>BDbDT_calcs!T64</f>
        <v>1887.8262030661867</v>
      </c>
      <c r="U8" s="37">
        <f>BDbDT_calcs!U64</f>
        <v>1938.0519710271117</v>
      </c>
      <c r="V8" s="37">
        <f>BDbDT_calcs!V64</f>
        <v>1988.615663278656</v>
      </c>
      <c r="W8" s="37">
        <f>BDbDT_calcs!W64</f>
        <v>2039.2406467254327</v>
      </c>
      <c r="X8" s="37">
        <f>BDbDT_calcs!X64</f>
        <v>2090.171709225699</v>
      </c>
      <c r="Y8" s="37">
        <f>BDbDT_calcs!Y64</f>
        <v>2140.9857889517993</v>
      </c>
      <c r="Z8" s="37">
        <f>BDbDT_calcs!Z64</f>
        <v>2191.6526853536343</v>
      </c>
      <c r="AA8" s="37">
        <f>BDbDT_calcs!AA64</f>
        <v>2241.6798482987629</v>
      </c>
      <c r="AB8" s="37">
        <f>BDbDT_calcs!AB64</f>
        <v>2291.0072531114565</v>
      </c>
    </row>
    <row r="9" spans="1:28" x14ac:dyDescent="0.25">
      <c r="A9" s="4" t="s">
        <v>222</v>
      </c>
      <c r="B9" s="37">
        <f>BDbDT_calcs!B65</f>
        <v>27339.685172021062</v>
      </c>
      <c r="C9" s="37">
        <f>BDbDT_calcs!C65</f>
        <v>27796.377047427832</v>
      </c>
      <c r="D9" s="37">
        <f>BDbDT_calcs!D65</f>
        <v>28029.033158873954</v>
      </c>
      <c r="E9" s="37">
        <f>BDbDT_calcs!E65</f>
        <v>28264.619086610557</v>
      </c>
      <c r="F9" s="37">
        <f>BDbDT_calcs!F65</f>
        <v>28508.641300790994</v>
      </c>
      <c r="G9" s="37">
        <f>BDbDT_calcs!G65</f>
        <v>28761.881036886069</v>
      </c>
      <c r="H9" s="37">
        <f>BDbDT_calcs!H65</f>
        <v>29023.505143211318</v>
      </c>
      <c r="I9" s="37">
        <f>BDbDT_calcs!I65</f>
        <v>29327.404626803596</v>
      </c>
      <c r="J9" s="37">
        <f>BDbDT_calcs!J65</f>
        <v>29635.64297268974</v>
      </c>
      <c r="K9" s="37">
        <f>BDbDT_calcs!K65</f>
        <v>29943.102158084544</v>
      </c>
      <c r="L9" s="37">
        <f>BDbDT_calcs!L65</f>
        <v>30247.458065856095</v>
      </c>
      <c r="M9" s="37">
        <f>BDbDT_calcs!M65</f>
        <v>30548.316075892206</v>
      </c>
      <c r="N9" s="37">
        <f>BDbDT_calcs!N65</f>
        <v>30839.493182547572</v>
      </c>
      <c r="O9" s="37">
        <f>BDbDT_calcs!O65</f>
        <v>31117.687515120077</v>
      </c>
      <c r="P9" s="37">
        <f>BDbDT_calcs!P65</f>
        <v>31380.16950511219</v>
      </c>
      <c r="Q9" s="37">
        <f>BDbDT_calcs!Q65</f>
        <v>31621.816425978956</v>
      </c>
      <c r="R9" s="37">
        <f>BDbDT_calcs!R65</f>
        <v>31839.544662580847</v>
      </c>
      <c r="S9" s="37">
        <f>BDbDT_calcs!S65</f>
        <v>31993.449678024459</v>
      </c>
      <c r="T9" s="37">
        <f>BDbDT_calcs!T65</f>
        <v>32118.240399151317</v>
      </c>
      <c r="U9" s="37">
        <f>BDbDT_calcs!U65</f>
        <v>32213.779056476833</v>
      </c>
      <c r="V9" s="37">
        <f>BDbDT_calcs!V65</f>
        <v>32272.355064492094</v>
      </c>
      <c r="W9" s="37">
        <f>BDbDT_calcs!W65</f>
        <v>32292.28837842997</v>
      </c>
      <c r="X9" s="37">
        <f>BDbDT_calcs!X65</f>
        <v>32273.239826414989</v>
      </c>
      <c r="Y9" s="37">
        <f>BDbDT_calcs!Y65</f>
        <v>32232.662039396924</v>
      </c>
      <c r="Z9" s="37">
        <f>BDbDT_calcs!Z65</f>
        <v>32156.001898620219</v>
      </c>
      <c r="AA9" s="37">
        <f>BDbDT_calcs!AA65</f>
        <v>32042.877260456306</v>
      </c>
      <c r="AB9" s="37">
        <f>BDbDT_calcs!AB65</f>
        <v>31895.629175625178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2026-08-17T20:28:28Z</dcterms:modified>
</cp:coreProperties>
</file>