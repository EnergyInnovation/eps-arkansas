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AR\add-outputs\HOIpTP\"/>
    </mc:Choice>
  </mc:AlternateContent>
  <xr:revisionPtr revIDLastSave="0" documentId="8_{15D4CA8F-A8F2-4DD0-ABEB-5FF3899CEB8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V17" i="19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AB15" i="19"/>
  <c r="J15" i="19"/>
  <c r="B15" i="19"/>
  <c r="X15" i="19" s="1"/>
  <c r="B14" i="19"/>
  <c r="AA14" i="19" s="1"/>
  <c r="O13" i="19"/>
  <c r="B13" i="19"/>
  <c r="J13" i="19" s="1"/>
  <c r="U12" i="19"/>
  <c r="G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P8" i="19"/>
  <c r="K8" i="19"/>
  <c r="F8" i="19"/>
  <c r="B8" i="19"/>
  <c r="L8" i="19" s="1"/>
  <c r="U7" i="19"/>
  <c r="B7" i="19"/>
  <c r="AA7" i="19" s="1"/>
  <c r="W6" i="19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AA3" i="19"/>
  <c r="Z3" i="19"/>
  <c r="E3" i="19"/>
  <c r="B3" i="19"/>
  <c r="AB2" i="19"/>
  <c r="W2" i="19"/>
  <c r="P2" i="19"/>
  <c r="O2" i="19"/>
  <c r="H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AB17" i="18"/>
  <c r="V17" i="18"/>
  <c r="R17" i="18"/>
  <c r="Q17" i="18"/>
  <c r="N17" i="18"/>
  <c r="M17" i="18"/>
  <c r="B17" i="18"/>
  <c r="X17" i="18" s="1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Q15" i="18"/>
  <c r="M15" i="18"/>
  <c r="E15" i="18"/>
  <c r="D15" i="18"/>
  <c r="B15" i="18"/>
  <c r="C15" i="18" s="1"/>
  <c r="AA14" i="18"/>
  <c r="Y14" i="18"/>
  <c r="U14" i="18"/>
  <c r="R14" i="18"/>
  <c r="B14" i="18"/>
  <c r="AB14" i="18" s="1"/>
  <c r="B13" i="18"/>
  <c r="Y12" i="18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B8" i="18"/>
  <c r="AA8" i="18"/>
  <c r="V8" i="18"/>
  <c r="U8" i="18"/>
  <c r="R8" i="18"/>
  <c r="Q8" i="18"/>
  <c r="B8" i="18"/>
  <c r="AB7" i="18"/>
  <c r="AA7" i="18"/>
  <c r="H7" i="18"/>
  <c r="G7" i="18"/>
  <c r="D7" i="18"/>
  <c r="C7" i="18"/>
  <c r="B7" i="18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V3" i="18"/>
  <c r="P3" i="18"/>
  <c r="B3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W13" i="17"/>
  <c r="U13" i="17"/>
  <c r="S13" i="17"/>
  <c r="R13" i="17"/>
  <c r="D13" i="17"/>
  <c r="C13" i="17"/>
  <c r="B13" i="17"/>
  <c r="Q13" i="17" s="1"/>
  <c r="Z12" i="17"/>
  <c r="Y12" i="17"/>
  <c r="T12" i="17"/>
  <c r="S12" i="17"/>
  <c r="R12" i="17"/>
  <c r="P12" i="17"/>
  <c r="O12" i="17"/>
  <c r="M12" i="17"/>
  <c r="J12" i="17"/>
  <c r="I12" i="17"/>
  <c r="H12" i="17"/>
  <c r="G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AA8" i="17"/>
  <c r="Y8" i="17"/>
  <c r="W8" i="17"/>
  <c r="T8" i="17"/>
  <c r="S8" i="17"/>
  <c r="R8" i="17"/>
  <c r="P8" i="17"/>
  <c r="O8" i="17"/>
  <c r="F8" i="17"/>
  <c r="D8" i="17"/>
  <c r="C8" i="17"/>
  <c r="B8" i="17"/>
  <c r="AB8" i="17" s="1"/>
  <c r="Z7" i="17"/>
  <c r="Y7" i="17"/>
  <c r="V7" i="17"/>
  <c r="U7" i="17"/>
  <c r="T7" i="17"/>
  <c r="P7" i="17"/>
  <c r="O7" i="17"/>
  <c r="B7" i="17"/>
  <c r="Q6" i="17"/>
  <c r="G6" i="17"/>
  <c r="E6" i="17"/>
  <c r="B6" i="17"/>
  <c r="C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Y17" i="16"/>
  <c r="V17" i="16"/>
  <c r="R17" i="16"/>
  <c r="J17" i="16"/>
  <c r="H17" i="16"/>
  <c r="B17" i="16"/>
  <c r="B16" i="16"/>
  <c r="K15" i="16"/>
  <c r="B15" i="16"/>
  <c r="AA15" i="16" s="1"/>
  <c r="G14" i="16"/>
  <c r="F14" i="16"/>
  <c r="B14" i="16"/>
  <c r="AB14" i="16" s="1"/>
  <c r="X13" i="16"/>
  <c r="W13" i="16"/>
  <c r="B13" i="16"/>
  <c r="J13" i="16" s="1"/>
  <c r="Y12" i="16"/>
  <c r="X12" i="16"/>
  <c r="I12" i="16"/>
  <c r="C12" i="16"/>
  <c r="B12" i="16"/>
  <c r="AB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Y7" i="16"/>
  <c r="X7" i="16"/>
  <c r="T7" i="16"/>
  <c r="S7" i="16"/>
  <c r="R7" i="16"/>
  <c r="M7" i="16"/>
  <c r="L7" i="16"/>
  <c r="H7" i="16"/>
  <c r="G7" i="16"/>
  <c r="D7" i="16"/>
  <c r="C7" i="16"/>
  <c r="B7" i="16"/>
  <c r="Z7" i="16" s="1"/>
  <c r="H6" i="16"/>
  <c r="E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U15" i="15"/>
  <c r="T15" i="15"/>
  <c r="S15" i="15"/>
  <c r="K15" i="15"/>
  <c r="I15" i="15"/>
  <c r="G15" i="15"/>
  <c r="E15" i="15"/>
  <c r="C15" i="15"/>
  <c r="B15" i="15"/>
  <c r="AA15" i="15" s="1"/>
  <c r="B14" i="15"/>
  <c r="O14" i="15" s="1"/>
  <c r="AB13" i="15"/>
  <c r="W13" i="15"/>
  <c r="V13" i="15"/>
  <c r="R13" i="15"/>
  <c r="Q13" i="15"/>
  <c r="F13" i="15"/>
  <c r="C13" i="15"/>
  <c r="B13" i="15"/>
  <c r="X12" i="15"/>
  <c r="W12" i="15"/>
  <c r="S12" i="15"/>
  <c r="Q12" i="15"/>
  <c r="P12" i="15"/>
  <c r="O12" i="15"/>
  <c r="N12" i="15"/>
  <c r="M12" i="15"/>
  <c r="K12" i="15"/>
  <c r="J12" i="15"/>
  <c r="B12" i="15"/>
  <c r="R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G8" i="15"/>
  <c r="F8" i="15"/>
  <c r="E8" i="15"/>
  <c r="C8" i="15"/>
  <c r="B8" i="15"/>
  <c r="AB7" i="15"/>
  <c r="AA7" i="15"/>
  <c r="W7" i="15"/>
  <c r="V7" i="15"/>
  <c r="S7" i="15"/>
  <c r="R7" i="15"/>
  <c r="O7" i="15"/>
  <c r="N7" i="15"/>
  <c r="M7" i="15"/>
  <c r="L7" i="15"/>
  <c r="K7" i="15"/>
  <c r="J7" i="15"/>
  <c r="I7" i="15"/>
  <c r="G7" i="15"/>
  <c r="F7" i="15"/>
  <c r="E7" i="15"/>
  <c r="D7" i="15"/>
  <c r="B7" i="15"/>
  <c r="X7" i="15" s="1"/>
  <c r="AB6" i="15"/>
  <c r="AA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Z3" i="15"/>
  <c r="W3" i="15"/>
  <c r="U3" i="15"/>
  <c r="N3" i="15"/>
  <c r="M3" i="15"/>
  <c r="L3" i="15"/>
  <c r="J3" i="15"/>
  <c r="I3" i="15"/>
  <c r="G3" i="15"/>
  <c r="E3" i="15"/>
  <c r="B3" i="15"/>
  <c r="L2" i="15"/>
  <c r="K2" i="15"/>
  <c r="J2" i="15"/>
  <c r="F2" i="15"/>
  <c r="D2" i="15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P15" i="14"/>
  <c r="O15" i="14"/>
  <c r="N15" i="14"/>
  <c r="M15" i="14"/>
  <c r="K15" i="14"/>
  <c r="J15" i="14"/>
  <c r="B15" i="14"/>
  <c r="AB14" i="14"/>
  <c r="S14" i="14"/>
  <c r="R14" i="14"/>
  <c r="B14" i="14"/>
  <c r="Y14" i="14" s="1"/>
  <c r="N13" i="14"/>
  <c r="G13" i="14"/>
  <c r="B13" i="14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H7" i="14"/>
  <c r="D7" i="14"/>
  <c r="C7" i="14"/>
  <c r="B7" i="14"/>
  <c r="AA6" i="14"/>
  <c r="Z6" i="14"/>
  <c r="W6" i="14"/>
  <c r="S6" i="14"/>
  <c r="R6" i="14"/>
  <c r="Q6" i="14"/>
  <c r="P6" i="14"/>
  <c r="N6" i="14"/>
  <c r="M6" i="14"/>
  <c r="B6" i="14"/>
  <c r="X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B3" i="14"/>
  <c r="AB2" i="14"/>
  <c r="AA2" i="14"/>
  <c r="X2" i="14"/>
  <c r="V2" i="14"/>
  <c r="P2" i="14"/>
  <c r="O2" i="14"/>
  <c r="M2" i="14"/>
  <c r="L2" i="14"/>
  <c r="G2" i="14"/>
  <c r="F2" i="14"/>
  <c r="E2" i="14"/>
  <c r="B2" i="14"/>
  <c r="Q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C17" i="13" s="1"/>
  <c r="U16" i="13"/>
  <c r="T16" i="13"/>
  <c r="H16" i="13"/>
  <c r="G16" i="13"/>
  <c r="B16" i="13"/>
  <c r="AA16" i="13" s="1"/>
  <c r="Y15" i="13"/>
  <c r="B15" i="13"/>
  <c r="AA14" i="13"/>
  <c r="W14" i="13"/>
  <c r="P14" i="13"/>
  <c r="H14" i="13"/>
  <c r="F14" i="13"/>
  <c r="B14" i="13"/>
  <c r="Z13" i="13"/>
  <c r="Y13" i="13"/>
  <c r="X13" i="13"/>
  <c r="V13" i="13"/>
  <c r="T13" i="13"/>
  <c r="S13" i="13"/>
  <c r="R13" i="13"/>
  <c r="O13" i="13"/>
  <c r="N13" i="13"/>
  <c r="H13" i="13"/>
  <c r="F13" i="13"/>
  <c r="B13" i="13"/>
  <c r="X12" i="13"/>
  <c r="S12" i="13"/>
  <c r="R12" i="13"/>
  <c r="O12" i="13"/>
  <c r="L12" i="13"/>
  <c r="J12" i="13"/>
  <c r="I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G8" i="13"/>
  <c r="F8" i="13"/>
  <c r="E8" i="13"/>
  <c r="B8" i="13"/>
  <c r="AA8" i="13" s="1"/>
  <c r="AB7" i="13"/>
  <c r="AA7" i="13"/>
  <c r="U7" i="13"/>
  <c r="M7" i="13"/>
  <c r="L7" i="13"/>
  <c r="I7" i="13"/>
  <c r="E7" i="13"/>
  <c r="B7" i="13"/>
  <c r="H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D3" i="13"/>
  <c r="C3" i="13"/>
  <c r="B3" i="13"/>
  <c r="AB2" i="13"/>
  <c r="Z2" i="13"/>
  <c r="X2" i="13"/>
  <c r="V2" i="13"/>
  <c r="R2" i="13"/>
  <c r="Q2" i="13"/>
  <c r="P2" i="13"/>
  <c r="M2" i="13"/>
  <c r="L2" i="13"/>
  <c r="E2" i="13"/>
  <c r="C2" i="13"/>
  <c r="B2" i="13"/>
  <c r="Y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B17" i="12"/>
  <c r="O17" i="12" s="1"/>
  <c r="AB16" i="12"/>
  <c r="AA16" i="12"/>
  <c r="Z16" i="12"/>
  <c r="J16" i="12"/>
  <c r="C16" i="12"/>
  <c r="B16" i="12"/>
  <c r="B15" i="12"/>
  <c r="J15" i="12" s="1"/>
  <c r="AB14" i="12"/>
  <c r="W14" i="12"/>
  <c r="R14" i="12"/>
  <c r="Q14" i="12"/>
  <c r="B14" i="12"/>
  <c r="B13" i="12"/>
  <c r="B12" i="12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X8" i="12"/>
  <c r="S8" i="12"/>
  <c r="R8" i="12"/>
  <c r="J8" i="12"/>
  <c r="I8" i="12"/>
  <c r="G8" i="12"/>
  <c r="B8" i="12"/>
  <c r="B7" i="12"/>
  <c r="E7" i="12" s="1"/>
  <c r="W6" i="12"/>
  <c r="B6" i="12"/>
  <c r="F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Z3" i="12"/>
  <c r="L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B17" i="11"/>
  <c r="J17" i="11" s="1"/>
  <c r="AB16" i="11"/>
  <c r="Y16" i="11"/>
  <c r="W16" i="11"/>
  <c r="V16" i="11"/>
  <c r="D16" i="11"/>
  <c r="B16" i="11"/>
  <c r="AA16" i="11" s="1"/>
  <c r="W15" i="11"/>
  <c r="R15" i="11"/>
  <c r="B15" i="11"/>
  <c r="U14" i="11"/>
  <c r="R14" i="11"/>
  <c r="Q14" i="11"/>
  <c r="O14" i="11"/>
  <c r="N14" i="11"/>
  <c r="M14" i="11"/>
  <c r="E14" i="11"/>
  <c r="C14" i="11"/>
  <c r="B14" i="11"/>
  <c r="X14" i="11" s="1"/>
  <c r="AB13" i="11"/>
  <c r="AA13" i="11"/>
  <c r="Z13" i="11"/>
  <c r="Y13" i="11"/>
  <c r="X13" i="11"/>
  <c r="V13" i="11"/>
  <c r="U13" i="11"/>
  <c r="R13" i="11"/>
  <c r="M13" i="11"/>
  <c r="L13" i="11"/>
  <c r="K13" i="11"/>
  <c r="B13" i="11"/>
  <c r="Q13" i="11" s="1"/>
  <c r="AB12" i="11"/>
  <c r="Z12" i="11"/>
  <c r="Y12" i="11"/>
  <c r="L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S8" i="11"/>
  <c r="R8" i="11"/>
  <c r="Q8" i="11"/>
  <c r="P8" i="11"/>
  <c r="N8" i="11"/>
  <c r="K8" i="11"/>
  <c r="J8" i="11"/>
  <c r="I8" i="11"/>
  <c r="E8" i="11"/>
  <c r="D8" i="11"/>
  <c r="C8" i="11"/>
  <c r="B8" i="11"/>
  <c r="B7" i="11"/>
  <c r="X6" i="11"/>
  <c r="T6" i="11"/>
  <c r="E6" i="11"/>
  <c r="C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B3" i="11"/>
  <c r="K3" i="11" s="1"/>
  <c r="B2" i="11"/>
  <c r="Q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AA15" i="10"/>
  <c r="Z15" i="10"/>
  <c r="T15" i="10"/>
  <c r="Q15" i="10"/>
  <c r="P15" i="10"/>
  <c r="O15" i="10"/>
  <c r="N15" i="10"/>
  <c r="M15" i="10"/>
  <c r="G15" i="10"/>
  <c r="F15" i="10"/>
  <c r="D15" i="10"/>
  <c r="C15" i="10"/>
  <c r="B15" i="10"/>
  <c r="Z14" i="10"/>
  <c r="N14" i="10"/>
  <c r="L14" i="10"/>
  <c r="K14" i="10"/>
  <c r="J14" i="10"/>
  <c r="H14" i="10"/>
  <c r="G14" i="10"/>
  <c r="B14" i="10"/>
  <c r="AB14" i="10" s="1"/>
  <c r="AA13" i="10"/>
  <c r="Z13" i="10"/>
  <c r="Y13" i="10"/>
  <c r="P13" i="10"/>
  <c r="D13" i="10"/>
  <c r="B13" i="10"/>
  <c r="M13" i="10" s="1"/>
  <c r="B12" i="10"/>
  <c r="C11" i="10"/>
  <c r="B11" i="10"/>
  <c r="B10" i="10"/>
  <c r="B9" i="10"/>
  <c r="AB8" i="10"/>
  <c r="Z8" i="10"/>
  <c r="K8" i="10"/>
  <c r="I8" i="10"/>
  <c r="G8" i="10"/>
  <c r="C8" i="10"/>
  <c r="B8" i="10"/>
  <c r="B7" i="10"/>
  <c r="X7" i="10" s="1"/>
  <c r="AA6" i="10"/>
  <c r="Y6" i="10"/>
  <c r="R6" i="10"/>
  <c r="O6" i="10"/>
  <c r="L6" i="10"/>
  <c r="H6" i="10"/>
  <c r="E6" i="10"/>
  <c r="C6" i="10"/>
  <c r="B6" i="10"/>
  <c r="J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AA2" i="10"/>
  <c r="L2" i="10"/>
  <c r="K2" i="10"/>
  <c r="J2" i="10"/>
  <c r="H2" i="10"/>
  <c r="G2" i="10"/>
  <c r="F2" i="10"/>
  <c r="B2" i="10"/>
  <c r="Z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X17" i="9"/>
  <c r="W17" i="9"/>
  <c r="U17" i="9"/>
  <c r="T17" i="9"/>
  <c r="S17" i="9"/>
  <c r="R17" i="9"/>
  <c r="Q17" i="9"/>
  <c r="P17" i="9"/>
  <c r="O17" i="9"/>
  <c r="M17" i="9"/>
  <c r="K17" i="9"/>
  <c r="J17" i="9"/>
  <c r="E17" i="9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M15" i="9"/>
  <c r="K15" i="9"/>
  <c r="B15" i="9"/>
  <c r="Q14" i="9"/>
  <c r="P14" i="9"/>
  <c r="O14" i="9"/>
  <c r="N14" i="9"/>
  <c r="B14" i="9"/>
  <c r="AB14" i="9" s="1"/>
  <c r="AA13" i="9"/>
  <c r="Z13" i="9"/>
  <c r="Y13" i="9"/>
  <c r="X13" i="9"/>
  <c r="W13" i="9"/>
  <c r="S13" i="9"/>
  <c r="Q13" i="9"/>
  <c r="M13" i="9"/>
  <c r="D13" i="9"/>
  <c r="C13" i="9"/>
  <c r="B13" i="9"/>
  <c r="AB12" i="9"/>
  <c r="AA12" i="9"/>
  <c r="Z12" i="9"/>
  <c r="X12" i="9"/>
  <c r="W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U8" i="9"/>
  <c r="T8" i="9"/>
  <c r="S8" i="9"/>
  <c r="N8" i="9"/>
  <c r="M8" i="9"/>
  <c r="L8" i="9"/>
  <c r="E8" i="9"/>
  <c r="C8" i="9"/>
  <c r="B8" i="9"/>
  <c r="AB8" i="9" s="1"/>
  <c r="AB7" i="9"/>
  <c r="AA7" i="9"/>
  <c r="X7" i="9"/>
  <c r="U7" i="9"/>
  <c r="T7" i="9"/>
  <c r="S7" i="9"/>
  <c r="Q7" i="9"/>
  <c r="P7" i="9"/>
  <c r="J7" i="9"/>
  <c r="I7" i="9"/>
  <c r="G7" i="9"/>
  <c r="F7" i="9"/>
  <c r="D7" i="9"/>
  <c r="C7" i="9"/>
  <c r="B7" i="9"/>
  <c r="V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B3" i="9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U15" i="8"/>
  <c r="P15" i="8"/>
  <c r="N15" i="8"/>
  <c r="M15" i="8"/>
  <c r="L15" i="8"/>
  <c r="K15" i="8"/>
  <c r="J15" i="8"/>
  <c r="I15" i="8"/>
  <c r="H15" i="8"/>
  <c r="G15" i="8"/>
  <c r="B15" i="8"/>
  <c r="Y14" i="8"/>
  <c r="W14" i="8"/>
  <c r="V14" i="8"/>
  <c r="U14" i="8"/>
  <c r="T14" i="8"/>
  <c r="S14" i="8"/>
  <c r="R14" i="8"/>
  <c r="P14" i="8"/>
  <c r="L14" i="8"/>
  <c r="K14" i="8"/>
  <c r="J14" i="8"/>
  <c r="I14" i="8"/>
  <c r="H14" i="8"/>
  <c r="E14" i="8"/>
  <c r="B14" i="8"/>
  <c r="Z14" i="8" s="1"/>
  <c r="AB13" i="8"/>
  <c r="AA13" i="8"/>
  <c r="X13" i="8"/>
  <c r="W13" i="8"/>
  <c r="V13" i="8"/>
  <c r="U13" i="8"/>
  <c r="S13" i="8"/>
  <c r="R13" i="8"/>
  <c r="Q13" i="8"/>
  <c r="M13" i="8"/>
  <c r="L13" i="8"/>
  <c r="K13" i="8"/>
  <c r="J13" i="8"/>
  <c r="G13" i="8"/>
  <c r="F13" i="8"/>
  <c r="E13" i="8"/>
  <c r="B13" i="8"/>
  <c r="U12" i="8"/>
  <c r="T12" i="8"/>
  <c r="S12" i="8"/>
  <c r="R12" i="8"/>
  <c r="B12" i="8"/>
  <c r="E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R8" i="8"/>
  <c r="B8" i="8"/>
  <c r="H8" i="8" s="1"/>
  <c r="W7" i="8"/>
  <c r="U7" i="8"/>
  <c r="T7" i="8"/>
  <c r="S7" i="8"/>
  <c r="Q7" i="8"/>
  <c r="P7" i="8"/>
  <c r="B7" i="8"/>
  <c r="Z7" i="8" s="1"/>
  <c r="P6" i="8"/>
  <c r="O6" i="8"/>
  <c r="F6" i="8"/>
  <c r="E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M3" i="8"/>
  <c r="L3" i="8"/>
  <c r="K3" i="8"/>
  <c r="I3" i="8"/>
  <c r="H3" i="8"/>
  <c r="E3" i="8"/>
  <c r="D3" i="8"/>
  <c r="B3" i="8"/>
  <c r="U2" i="8"/>
  <c r="T2" i="8"/>
  <c r="S2" i="8"/>
  <c r="R2" i="8"/>
  <c r="Q2" i="8"/>
  <c r="M2" i="8"/>
  <c r="G2" i="8"/>
  <c r="D2" i="8"/>
  <c r="C2" i="8"/>
  <c r="B2" i="8"/>
  <c r="Z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V17" i="7"/>
  <c r="U17" i="7"/>
  <c r="T17" i="7"/>
  <c r="Q17" i="7"/>
  <c r="M17" i="7"/>
  <c r="L17" i="7"/>
  <c r="G17" i="7"/>
  <c r="F17" i="7"/>
  <c r="E17" i="7"/>
  <c r="D17" i="7"/>
  <c r="C17" i="7"/>
  <c r="B17" i="7"/>
  <c r="N16" i="7"/>
  <c r="M16" i="7"/>
  <c r="L16" i="7"/>
  <c r="J16" i="7"/>
  <c r="H16" i="7"/>
  <c r="G16" i="7"/>
  <c r="B16" i="7"/>
  <c r="AA16" i="7" s="1"/>
  <c r="AB15" i="7"/>
  <c r="AA15" i="7"/>
  <c r="Y15" i="7"/>
  <c r="W15" i="7"/>
  <c r="V15" i="7"/>
  <c r="U15" i="7"/>
  <c r="T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B15" i="7"/>
  <c r="AB14" i="7"/>
  <c r="AA14" i="7"/>
  <c r="Y14" i="7"/>
  <c r="X14" i="7"/>
  <c r="R14" i="7"/>
  <c r="Q14" i="7"/>
  <c r="O14" i="7"/>
  <c r="N14" i="7"/>
  <c r="M14" i="7"/>
  <c r="J14" i="7"/>
  <c r="B14" i="7"/>
  <c r="W13" i="7"/>
  <c r="V13" i="7"/>
  <c r="T13" i="7"/>
  <c r="R13" i="7"/>
  <c r="Q13" i="7"/>
  <c r="I13" i="7"/>
  <c r="H13" i="7"/>
  <c r="B13" i="7"/>
  <c r="AA13" i="7" s="1"/>
  <c r="P12" i="7"/>
  <c r="N12" i="7"/>
  <c r="M12" i="7"/>
  <c r="L12" i="7"/>
  <c r="K12" i="7"/>
  <c r="C12" i="7"/>
  <c r="B12" i="7"/>
  <c r="AB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A8" i="7"/>
  <c r="Z8" i="7"/>
  <c r="Y8" i="7"/>
  <c r="W8" i="7"/>
  <c r="V8" i="7"/>
  <c r="U8" i="7"/>
  <c r="T8" i="7"/>
  <c r="Q8" i="7"/>
  <c r="P8" i="7"/>
  <c r="N8" i="7"/>
  <c r="M8" i="7"/>
  <c r="K8" i="7"/>
  <c r="I8" i="7"/>
  <c r="H8" i="7"/>
  <c r="G8" i="7"/>
  <c r="F8" i="7"/>
  <c r="E8" i="7"/>
  <c r="D8" i="7"/>
  <c r="B8" i="7"/>
  <c r="AB8" i="7" s="1"/>
  <c r="AA7" i="7"/>
  <c r="Z7" i="7"/>
  <c r="Y7" i="7"/>
  <c r="W7" i="7"/>
  <c r="V7" i="7"/>
  <c r="U7" i="7"/>
  <c r="S7" i="7"/>
  <c r="P7" i="7"/>
  <c r="O7" i="7"/>
  <c r="L7" i="7"/>
  <c r="K7" i="7"/>
  <c r="J7" i="7"/>
  <c r="I7" i="7"/>
  <c r="H7" i="7"/>
  <c r="F7" i="7"/>
  <c r="E7" i="7"/>
  <c r="D7" i="7"/>
  <c r="B7" i="7"/>
  <c r="AB7" i="7" s="1"/>
  <c r="X6" i="7"/>
  <c r="W6" i="7"/>
  <c r="V6" i="7"/>
  <c r="R6" i="7"/>
  <c r="B6" i="7"/>
  <c r="H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P3" i="7"/>
  <c r="O3" i="7"/>
  <c r="N3" i="7"/>
  <c r="M3" i="7"/>
  <c r="L3" i="7"/>
  <c r="K3" i="7"/>
  <c r="J3" i="7"/>
  <c r="H3" i="7"/>
  <c r="G3" i="7"/>
  <c r="B3" i="7"/>
  <c r="Z3" i="7" s="1"/>
  <c r="S2" i="7"/>
  <c r="R2" i="7"/>
  <c r="Q2" i="7"/>
  <c r="P2" i="7"/>
  <c r="O2" i="7"/>
  <c r="L2" i="7"/>
  <c r="B2" i="7"/>
  <c r="G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B17" i="6"/>
  <c r="AA17" i="6"/>
  <c r="Z17" i="6"/>
  <c r="X17" i="6"/>
  <c r="W17" i="6"/>
  <c r="V17" i="6"/>
  <c r="Q17" i="6"/>
  <c r="P17" i="6"/>
  <c r="O17" i="6"/>
  <c r="L17" i="6"/>
  <c r="J17" i="6"/>
  <c r="B17" i="6"/>
  <c r="E16" i="6"/>
  <c r="D16" i="6"/>
  <c r="C16" i="6"/>
  <c r="B16" i="6"/>
  <c r="B15" i="6"/>
  <c r="F15" i="6" s="1"/>
  <c r="B14" i="6"/>
  <c r="N14" i="6" s="1"/>
  <c r="Y13" i="6"/>
  <c r="S13" i="6"/>
  <c r="Q13" i="6"/>
  <c r="P13" i="6"/>
  <c r="O13" i="6"/>
  <c r="N13" i="6"/>
  <c r="K13" i="6"/>
  <c r="I13" i="6"/>
  <c r="H13" i="6"/>
  <c r="B13" i="6"/>
  <c r="T12" i="6"/>
  <c r="S12" i="6"/>
  <c r="R12" i="6"/>
  <c r="P12" i="6"/>
  <c r="N12" i="6"/>
  <c r="B12" i="6"/>
  <c r="K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B8" i="6"/>
  <c r="AB8" i="6" s="1"/>
  <c r="B7" i="6"/>
  <c r="J7" i="6" s="1"/>
  <c r="AB6" i="6"/>
  <c r="AA6" i="6"/>
  <c r="P6" i="6"/>
  <c r="J6" i="6"/>
  <c r="E6" i="6"/>
  <c r="B6" i="6"/>
  <c r="I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B3" i="6"/>
  <c r="AA3" i="6" s="1"/>
  <c r="AB2" i="6"/>
  <c r="AA2" i="6"/>
  <c r="Z2" i="6"/>
  <c r="T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W17" i="5"/>
  <c r="V17" i="5"/>
  <c r="U17" i="5"/>
  <c r="T17" i="5"/>
  <c r="S17" i="5"/>
  <c r="R17" i="5"/>
  <c r="Q17" i="5"/>
  <c r="P17" i="5"/>
  <c r="O17" i="5"/>
  <c r="L17" i="5"/>
  <c r="K17" i="5"/>
  <c r="D17" i="5"/>
  <c r="B17" i="5"/>
  <c r="J17" i="5" s="1"/>
  <c r="B16" i="5"/>
  <c r="K15" i="5"/>
  <c r="J15" i="5"/>
  <c r="I15" i="5"/>
  <c r="B15" i="5"/>
  <c r="W15" i="5" s="1"/>
  <c r="AB14" i="5"/>
  <c r="AA14" i="5"/>
  <c r="Y14" i="5"/>
  <c r="B14" i="5"/>
  <c r="D14" i="5" s="1"/>
  <c r="X13" i="5"/>
  <c r="R13" i="5"/>
  <c r="M13" i="5"/>
  <c r="K13" i="5"/>
  <c r="J13" i="5"/>
  <c r="I13" i="5"/>
  <c r="B13" i="5"/>
  <c r="D13" i="5" s="1"/>
  <c r="B12" i="5"/>
  <c r="H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D7" i="5" s="1"/>
  <c r="Z6" i="5"/>
  <c r="X6" i="5"/>
  <c r="W6" i="5"/>
  <c r="R6" i="5"/>
  <c r="B6" i="5"/>
  <c r="I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B3" i="5"/>
  <c r="W3" i="5" s="1"/>
  <c r="F2" i="5"/>
  <c r="E2" i="5"/>
  <c r="D2" i="5"/>
  <c r="B2" i="5"/>
  <c r="C2" i="5" s="1"/>
  <c r="B2" i="1"/>
  <c r="AB3" i="9" l="1"/>
  <c r="AA3" i="9"/>
  <c r="Z3" i="9"/>
  <c r="D3" i="11"/>
  <c r="F14" i="6"/>
  <c r="Q3" i="11"/>
  <c r="X7" i="12"/>
  <c r="X15" i="13"/>
  <c r="W15" i="13"/>
  <c r="R15" i="13"/>
  <c r="Q15" i="13"/>
  <c r="N15" i="13"/>
  <c r="M15" i="13"/>
  <c r="AB15" i="13"/>
  <c r="AA15" i="13"/>
  <c r="Z15" i="13"/>
  <c r="V15" i="13"/>
  <c r="T15" i="13"/>
  <c r="S15" i="13"/>
  <c r="P15" i="13"/>
  <c r="G15" i="13"/>
  <c r="I3" i="14"/>
  <c r="C3" i="14"/>
  <c r="Y3" i="14"/>
  <c r="X3" i="14"/>
  <c r="U3" i="14"/>
  <c r="T3" i="14"/>
  <c r="P3" i="14"/>
  <c r="N3" i="14"/>
  <c r="M3" i="14"/>
  <c r="K3" i="14"/>
  <c r="J3" i="14"/>
  <c r="G3" i="14"/>
  <c r="F3" i="14"/>
  <c r="AA15" i="6"/>
  <c r="C15" i="6"/>
  <c r="Q7" i="11"/>
  <c r="W7" i="11"/>
  <c r="S7" i="11"/>
  <c r="M7" i="11"/>
  <c r="V7" i="11"/>
  <c r="U7" i="11"/>
  <c r="T7" i="11"/>
  <c r="P7" i="11"/>
  <c r="V7" i="12"/>
  <c r="T17" i="12"/>
  <c r="G3" i="9"/>
  <c r="I7" i="5"/>
  <c r="N3" i="5"/>
  <c r="Y13" i="5"/>
  <c r="F6" i="7"/>
  <c r="T12" i="7"/>
  <c r="AB13" i="7"/>
  <c r="V2" i="8"/>
  <c r="Y7" i="8"/>
  <c r="Y12" i="8"/>
  <c r="O3" i="9"/>
  <c r="X8" i="9"/>
  <c r="T14" i="9"/>
  <c r="N2" i="10"/>
  <c r="O14" i="10"/>
  <c r="R3" i="11"/>
  <c r="F7" i="11"/>
  <c r="V14" i="11"/>
  <c r="Z7" i="12"/>
  <c r="F15" i="12"/>
  <c r="C15" i="13"/>
  <c r="D3" i="14"/>
  <c r="D14" i="6"/>
  <c r="F3" i="9"/>
  <c r="W7" i="12"/>
  <c r="G15" i="6"/>
  <c r="K3" i="9"/>
  <c r="E7" i="11"/>
  <c r="L3" i="6"/>
  <c r="D8" i="6"/>
  <c r="H14" i="6"/>
  <c r="H15" i="6"/>
  <c r="Z13" i="5"/>
  <c r="V12" i="7"/>
  <c r="W2" i="8"/>
  <c r="S3" i="9"/>
  <c r="U14" i="9"/>
  <c r="P2" i="10"/>
  <c r="P14" i="10"/>
  <c r="S3" i="11"/>
  <c r="G7" i="11"/>
  <c r="AA7" i="12"/>
  <c r="G15" i="12"/>
  <c r="D15" i="13"/>
  <c r="E3" i="14"/>
  <c r="C3" i="6"/>
  <c r="M14" i="15"/>
  <c r="E14" i="6"/>
  <c r="R14" i="9"/>
  <c r="M3" i="11"/>
  <c r="D7" i="11"/>
  <c r="U12" i="6"/>
  <c r="E15" i="12"/>
  <c r="Z14" i="7"/>
  <c r="V14" i="7"/>
  <c r="AA12" i="8"/>
  <c r="Y3" i="9"/>
  <c r="V14" i="9"/>
  <c r="U2" i="10"/>
  <c r="Q14" i="10"/>
  <c r="Y3" i="11"/>
  <c r="H7" i="11"/>
  <c r="AB7" i="12"/>
  <c r="E15" i="13"/>
  <c r="L3" i="14"/>
  <c r="AB2" i="16"/>
  <c r="AA2" i="16"/>
  <c r="W2" i="16"/>
  <c r="U2" i="16"/>
  <c r="P2" i="16"/>
  <c r="K2" i="16"/>
  <c r="Y2" i="16"/>
  <c r="X2" i="16"/>
  <c r="T2" i="16"/>
  <c r="Q2" i="16"/>
  <c r="D2" i="16"/>
  <c r="X15" i="6"/>
  <c r="T15" i="6"/>
  <c r="O15" i="6"/>
  <c r="L15" i="5"/>
  <c r="M15" i="5"/>
  <c r="X15" i="12"/>
  <c r="H15" i="12"/>
  <c r="AB15" i="12"/>
  <c r="D15" i="12"/>
  <c r="AA15" i="12"/>
  <c r="C15" i="12"/>
  <c r="W15" i="12"/>
  <c r="V15" i="12"/>
  <c r="P15" i="12"/>
  <c r="O15" i="12"/>
  <c r="N15" i="12"/>
  <c r="L15" i="12"/>
  <c r="I15" i="12"/>
  <c r="N17" i="6"/>
  <c r="M17" i="6"/>
  <c r="H17" i="6"/>
  <c r="Q3" i="5"/>
  <c r="U7" i="5"/>
  <c r="P15" i="5"/>
  <c r="M3" i="6"/>
  <c r="I14" i="6"/>
  <c r="C17" i="6"/>
  <c r="Z12" i="8"/>
  <c r="S3" i="5"/>
  <c r="V7" i="5"/>
  <c r="O3" i="6"/>
  <c r="G8" i="6"/>
  <c r="Y12" i="6"/>
  <c r="J14" i="6"/>
  <c r="J15" i="6"/>
  <c r="D17" i="6"/>
  <c r="X14" i="8"/>
  <c r="Q14" i="8"/>
  <c r="G14" i="8"/>
  <c r="AA14" i="8"/>
  <c r="W14" i="9"/>
  <c r="V2" i="10"/>
  <c r="AB12" i="10"/>
  <c r="Z12" i="10"/>
  <c r="S14" i="10"/>
  <c r="I7" i="11"/>
  <c r="Z8" i="12"/>
  <c r="V8" i="12"/>
  <c r="U8" i="12"/>
  <c r="Q8" i="12"/>
  <c r="P8" i="12"/>
  <c r="AA8" i="12"/>
  <c r="Y8" i="12"/>
  <c r="W8" i="12"/>
  <c r="M8" i="12"/>
  <c r="C8" i="12"/>
  <c r="K15" i="12"/>
  <c r="F15" i="13"/>
  <c r="S3" i="14"/>
  <c r="AB15" i="6"/>
  <c r="AA6" i="7"/>
  <c r="N6" i="7"/>
  <c r="K6" i="7"/>
  <c r="R12" i="7"/>
  <c r="Q15" i="5"/>
  <c r="I6" i="7"/>
  <c r="T3" i="5"/>
  <c r="P3" i="6"/>
  <c r="H8" i="6"/>
  <c r="AB12" i="6"/>
  <c r="K14" i="6"/>
  <c r="K15" i="6"/>
  <c r="E17" i="6"/>
  <c r="S3" i="7"/>
  <c r="O6" i="7"/>
  <c r="X12" i="7"/>
  <c r="F14" i="7"/>
  <c r="AA2" i="8"/>
  <c r="L8" i="8"/>
  <c r="AB12" i="8"/>
  <c r="U3" i="5"/>
  <c r="Y7" i="5"/>
  <c r="V14" i="5"/>
  <c r="S15" i="5"/>
  <c r="Q3" i="6"/>
  <c r="I8" i="6"/>
  <c r="Y12" i="7"/>
  <c r="H14" i="7"/>
  <c r="J3" i="8"/>
  <c r="G3" i="8"/>
  <c r="Q3" i="8"/>
  <c r="P3" i="8"/>
  <c r="M8" i="8"/>
  <c r="W14" i="10"/>
  <c r="J7" i="11"/>
  <c r="D8" i="12"/>
  <c r="M15" i="12"/>
  <c r="AB6" i="13"/>
  <c r="Z6" i="13"/>
  <c r="P6" i="13"/>
  <c r="K6" i="13"/>
  <c r="J6" i="13"/>
  <c r="AA6" i="13"/>
  <c r="O6" i="13"/>
  <c r="H15" i="13"/>
  <c r="V3" i="14"/>
  <c r="D15" i="6"/>
  <c r="C3" i="9"/>
  <c r="M3" i="5"/>
  <c r="N15" i="5"/>
  <c r="K3" i="6"/>
  <c r="C8" i="6"/>
  <c r="W12" i="8"/>
  <c r="S14" i="9"/>
  <c r="N7" i="5"/>
  <c r="O15" i="5"/>
  <c r="V12" i="6"/>
  <c r="E8" i="6"/>
  <c r="W12" i="6"/>
  <c r="I15" i="6"/>
  <c r="Y2" i="7"/>
  <c r="M2" i="7"/>
  <c r="I2" i="7"/>
  <c r="W12" i="7"/>
  <c r="D14" i="7"/>
  <c r="X7" i="5"/>
  <c r="O14" i="5"/>
  <c r="R15" i="5"/>
  <c r="AB13" i="6"/>
  <c r="T13" i="6"/>
  <c r="M13" i="6"/>
  <c r="L14" i="6"/>
  <c r="L15" i="6"/>
  <c r="F17" i="6"/>
  <c r="H2" i="7"/>
  <c r="U3" i="7"/>
  <c r="P6" i="7"/>
  <c r="Q7" i="7"/>
  <c r="T13" i="8"/>
  <c r="I13" i="8"/>
  <c r="H13" i="8"/>
  <c r="C14" i="8"/>
  <c r="AB14" i="8"/>
  <c r="Y14" i="9"/>
  <c r="Y2" i="10"/>
  <c r="G12" i="10"/>
  <c r="V3" i="5"/>
  <c r="Z7" i="5"/>
  <c r="W14" i="5"/>
  <c r="T15" i="5"/>
  <c r="X17" i="5"/>
  <c r="S3" i="6"/>
  <c r="J8" i="6"/>
  <c r="G13" i="6"/>
  <c r="M14" i="6"/>
  <c r="M15" i="6"/>
  <c r="G17" i="6"/>
  <c r="K2" i="7"/>
  <c r="Q6" i="7"/>
  <c r="R7" i="7"/>
  <c r="R8" i="7"/>
  <c r="I14" i="7"/>
  <c r="C3" i="8"/>
  <c r="Q8" i="8"/>
  <c r="C13" i="8"/>
  <c r="D14" i="8"/>
  <c r="Z14" i="9"/>
  <c r="AA12" i="10"/>
  <c r="Y14" i="10"/>
  <c r="K7" i="11"/>
  <c r="F8" i="12"/>
  <c r="Q15" i="12"/>
  <c r="G6" i="13"/>
  <c r="I15" i="13"/>
  <c r="W3" i="14"/>
  <c r="X2" i="15"/>
  <c r="H2" i="15"/>
  <c r="AB2" i="15"/>
  <c r="C2" i="15"/>
  <c r="V2" i="15"/>
  <c r="U2" i="15"/>
  <c r="Q2" i="15"/>
  <c r="P2" i="15"/>
  <c r="AA2" i="15"/>
  <c r="Z2" i="15"/>
  <c r="Y2" i="15"/>
  <c r="S2" i="15"/>
  <c r="R2" i="15"/>
  <c r="O2" i="15"/>
  <c r="N2" i="15"/>
  <c r="M2" i="15"/>
  <c r="E2" i="15"/>
  <c r="L3" i="5"/>
  <c r="F3" i="6"/>
  <c r="V12" i="8"/>
  <c r="AA7" i="5"/>
  <c r="U3" i="6"/>
  <c r="U8" i="6"/>
  <c r="N15" i="6"/>
  <c r="C12" i="11"/>
  <c r="X12" i="11"/>
  <c r="G12" i="11"/>
  <c r="F12" i="11"/>
  <c r="E12" i="11"/>
  <c r="M3" i="12"/>
  <c r="I3" i="12"/>
  <c r="G3" i="12"/>
  <c r="AA3" i="12"/>
  <c r="R15" i="12"/>
  <c r="J15" i="13"/>
  <c r="Z3" i="14"/>
  <c r="U14" i="6"/>
  <c r="X14" i="6"/>
  <c r="P14" i="6"/>
  <c r="U15" i="5"/>
  <c r="Z13" i="7"/>
  <c r="S13" i="7"/>
  <c r="X13" i="7"/>
  <c r="L7" i="11"/>
  <c r="AB7" i="5"/>
  <c r="Z14" i="5"/>
  <c r="V15" i="5"/>
  <c r="V3" i="6"/>
  <c r="O14" i="6"/>
  <c r="P15" i="6"/>
  <c r="K17" i="6"/>
  <c r="N2" i="7"/>
  <c r="S6" i="7"/>
  <c r="E13" i="7"/>
  <c r="L14" i="7"/>
  <c r="AB17" i="7"/>
  <c r="H17" i="7"/>
  <c r="S17" i="7"/>
  <c r="T8" i="8"/>
  <c r="F14" i="8"/>
  <c r="AA15" i="9"/>
  <c r="Y15" i="9"/>
  <c r="Z15" i="9"/>
  <c r="N7" i="11"/>
  <c r="I12" i="11"/>
  <c r="F3" i="12"/>
  <c r="H8" i="12"/>
  <c r="S15" i="12"/>
  <c r="M6" i="13"/>
  <c r="K15" i="13"/>
  <c r="AB3" i="14"/>
  <c r="W3" i="6"/>
  <c r="Q14" i="6"/>
  <c r="Q15" i="6"/>
  <c r="U6" i="7"/>
  <c r="F13" i="7"/>
  <c r="O2" i="8"/>
  <c r="F2" i="8"/>
  <c r="P2" i="8"/>
  <c r="N2" i="8"/>
  <c r="X15" i="10"/>
  <c r="I15" i="10"/>
  <c r="E15" i="10"/>
  <c r="Y15" i="10"/>
  <c r="W15" i="10"/>
  <c r="V15" i="10"/>
  <c r="U15" i="10"/>
  <c r="R15" i="10"/>
  <c r="O7" i="11"/>
  <c r="J12" i="11"/>
  <c r="J3" i="12"/>
  <c r="T15" i="12"/>
  <c r="Y7" i="13"/>
  <c r="D7" i="13"/>
  <c r="Z7" i="13"/>
  <c r="X7" i="13"/>
  <c r="H7" i="13"/>
  <c r="G7" i="13"/>
  <c r="F7" i="13"/>
  <c r="C7" i="13"/>
  <c r="W7" i="13"/>
  <c r="L15" i="13"/>
  <c r="G2" i="15"/>
  <c r="O12" i="7"/>
  <c r="S12" i="7"/>
  <c r="W8" i="9"/>
  <c r="Y8" i="9"/>
  <c r="R8" i="9"/>
  <c r="Q8" i="9"/>
  <c r="P8" i="9"/>
  <c r="O8" i="9"/>
  <c r="AA6" i="11"/>
  <c r="U6" i="11"/>
  <c r="P6" i="11"/>
  <c r="I6" i="11"/>
  <c r="O6" i="11"/>
  <c r="L6" i="11"/>
  <c r="K6" i="11"/>
  <c r="H6" i="11"/>
  <c r="R7" i="11"/>
  <c r="K12" i="11"/>
  <c r="S14" i="11"/>
  <c r="P14" i="11"/>
  <c r="L14" i="11"/>
  <c r="K14" i="11"/>
  <c r="G14" i="11"/>
  <c r="AB14" i="11"/>
  <c r="AA14" i="11"/>
  <c r="W14" i="11"/>
  <c r="T14" i="11"/>
  <c r="K3" i="12"/>
  <c r="Y15" i="12"/>
  <c r="AA3" i="13"/>
  <c r="V3" i="13"/>
  <c r="P3" i="13"/>
  <c r="L3" i="13"/>
  <c r="K3" i="13"/>
  <c r="AB3" i="13"/>
  <c r="W3" i="13"/>
  <c r="M3" i="13"/>
  <c r="I3" i="13"/>
  <c r="F3" i="13"/>
  <c r="O15" i="13"/>
  <c r="Z7" i="14"/>
  <c r="W7" i="14"/>
  <c r="O7" i="14"/>
  <c r="K7" i="14"/>
  <c r="J7" i="14"/>
  <c r="G7" i="14"/>
  <c r="E7" i="14"/>
  <c r="V7" i="14"/>
  <c r="S7" i="14"/>
  <c r="R7" i="14"/>
  <c r="P7" i="14"/>
  <c r="N7" i="14"/>
  <c r="M7" i="14"/>
  <c r="L7" i="14"/>
  <c r="I7" i="14"/>
  <c r="I2" i="15"/>
  <c r="C14" i="6"/>
  <c r="X15" i="5"/>
  <c r="AB15" i="5"/>
  <c r="E15" i="5"/>
  <c r="X14" i="9"/>
  <c r="M14" i="9"/>
  <c r="I14" i="9"/>
  <c r="AA14" i="9"/>
  <c r="D14" i="9"/>
  <c r="H14" i="9"/>
  <c r="G14" i="9"/>
  <c r="F14" i="9"/>
  <c r="C12" i="12"/>
  <c r="AA12" i="12"/>
  <c r="Z12" i="12"/>
  <c r="H12" i="12"/>
  <c r="Z15" i="12"/>
  <c r="C7" i="11"/>
  <c r="X7" i="11"/>
  <c r="U15" i="6"/>
  <c r="J13" i="7"/>
  <c r="C14" i="9"/>
  <c r="Z7" i="11"/>
  <c r="M12" i="11"/>
  <c r="N3" i="12"/>
  <c r="AB12" i="12"/>
  <c r="W2" i="18"/>
  <c r="Y2" i="18"/>
  <c r="X2" i="18"/>
  <c r="S2" i="18"/>
  <c r="R2" i="18"/>
  <c r="P2" i="18"/>
  <c r="N2" i="18"/>
  <c r="M2" i="18"/>
  <c r="L2" i="18"/>
  <c r="G2" i="18"/>
  <c r="F2" i="18"/>
  <c r="Z2" i="18"/>
  <c r="V2" i="18"/>
  <c r="U2" i="18"/>
  <c r="C15" i="5"/>
  <c r="X14" i="10"/>
  <c r="M14" i="10"/>
  <c r="I14" i="10"/>
  <c r="AA14" i="10"/>
  <c r="D14" i="10"/>
  <c r="V14" i="10"/>
  <c r="U14" i="10"/>
  <c r="T14" i="10"/>
  <c r="R14" i="10"/>
  <c r="E3" i="13"/>
  <c r="D2" i="18"/>
  <c r="E14" i="15"/>
  <c r="D14" i="15"/>
  <c r="AB14" i="15"/>
  <c r="N14" i="15"/>
  <c r="X3" i="6"/>
  <c r="R14" i="6"/>
  <c r="S15" i="6"/>
  <c r="X12" i="8"/>
  <c r="D12" i="8"/>
  <c r="C12" i="8"/>
  <c r="Y12" i="9"/>
  <c r="O12" i="9"/>
  <c r="U12" i="9"/>
  <c r="S12" i="9"/>
  <c r="J12" i="9"/>
  <c r="E6" i="5"/>
  <c r="D15" i="5"/>
  <c r="L6" i="6"/>
  <c r="D12" i="6"/>
  <c r="W14" i="6"/>
  <c r="J7" i="8"/>
  <c r="G7" i="8"/>
  <c r="H12" i="8"/>
  <c r="W2" i="10"/>
  <c r="X2" i="10"/>
  <c r="M2" i="10"/>
  <c r="G2" i="11"/>
  <c r="G6" i="11"/>
  <c r="AA7" i="11"/>
  <c r="O12" i="11"/>
  <c r="F14" i="11"/>
  <c r="C17" i="11"/>
  <c r="P3" i="12"/>
  <c r="F15" i="5"/>
  <c r="M6" i="6"/>
  <c r="J12" i="6"/>
  <c r="R13" i="6"/>
  <c r="Y14" i="6"/>
  <c r="W15" i="6"/>
  <c r="S17" i="6"/>
  <c r="Z2" i="7"/>
  <c r="AB6" i="7"/>
  <c r="G12" i="7"/>
  <c r="M13" i="7"/>
  <c r="S14" i="7"/>
  <c r="I17" i="7"/>
  <c r="I2" i="8"/>
  <c r="N3" i="8"/>
  <c r="K7" i="8"/>
  <c r="N12" i="8"/>
  <c r="N13" i="8"/>
  <c r="M14" i="8"/>
  <c r="G8" i="9"/>
  <c r="D12" i="9"/>
  <c r="J14" i="9"/>
  <c r="C2" i="10"/>
  <c r="C14" i="10"/>
  <c r="H15" i="10"/>
  <c r="I2" i="11"/>
  <c r="J6" i="11"/>
  <c r="AB7" i="11"/>
  <c r="P12" i="11"/>
  <c r="H14" i="11"/>
  <c r="D17" i="11"/>
  <c r="T3" i="12"/>
  <c r="Y14" i="12"/>
  <c r="X14" i="12"/>
  <c r="V14" i="12"/>
  <c r="J3" i="13"/>
  <c r="N7" i="13"/>
  <c r="X7" i="14"/>
  <c r="X15" i="14"/>
  <c r="Q15" i="14"/>
  <c r="L15" i="14"/>
  <c r="H15" i="14"/>
  <c r="G15" i="14"/>
  <c r="AA15" i="14"/>
  <c r="D15" i="14"/>
  <c r="Z15" i="14"/>
  <c r="C15" i="14"/>
  <c r="AB15" i="14"/>
  <c r="Y15" i="14"/>
  <c r="W15" i="14"/>
  <c r="V15" i="14"/>
  <c r="U15" i="14"/>
  <c r="T15" i="14"/>
  <c r="S15" i="14"/>
  <c r="R15" i="14"/>
  <c r="I15" i="14"/>
  <c r="P3" i="15"/>
  <c r="F3" i="15"/>
  <c r="Y3" i="15"/>
  <c r="X3" i="15"/>
  <c r="T3" i="15"/>
  <c r="Q3" i="15"/>
  <c r="AA3" i="15"/>
  <c r="K3" i="15"/>
  <c r="J2" i="18"/>
  <c r="U3" i="11"/>
  <c r="P3" i="11"/>
  <c r="I3" i="11"/>
  <c r="J3" i="11"/>
  <c r="H3" i="11"/>
  <c r="E3" i="11"/>
  <c r="C3" i="11"/>
  <c r="G17" i="12"/>
  <c r="E15" i="6"/>
  <c r="L3" i="11"/>
  <c r="Y15" i="5"/>
  <c r="G12" i="5"/>
  <c r="AB6" i="5"/>
  <c r="K6" i="5"/>
  <c r="AA15" i="5"/>
  <c r="K6" i="6"/>
  <c r="T14" i="6"/>
  <c r="E12" i="7"/>
  <c r="AB13" i="5"/>
  <c r="F13" i="5"/>
  <c r="V15" i="6"/>
  <c r="R17" i="6"/>
  <c r="F8" i="9"/>
  <c r="C12" i="9"/>
  <c r="E14" i="9"/>
  <c r="J6" i="5"/>
  <c r="G13" i="5"/>
  <c r="G15" i="5"/>
  <c r="N6" i="6"/>
  <c r="AA14" i="6"/>
  <c r="Y15" i="6"/>
  <c r="T17" i="6"/>
  <c r="X3" i="7"/>
  <c r="V3" i="7"/>
  <c r="T3" i="7"/>
  <c r="G7" i="7"/>
  <c r="M7" i="7"/>
  <c r="N7" i="7"/>
  <c r="X8" i="7"/>
  <c r="J8" i="7"/>
  <c r="L8" i="7"/>
  <c r="H12" i="7"/>
  <c r="N13" i="7"/>
  <c r="T14" i="7"/>
  <c r="J17" i="7"/>
  <c r="K2" i="8"/>
  <c r="O3" i="8"/>
  <c r="M7" i="8"/>
  <c r="O12" i="8"/>
  <c r="O13" i="8"/>
  <c r="N14" i="8"/>
  <c r="I8" i="9"/>
  <c r="E12" i="9"/>
  <c r="K14" i="9"/>
  <c r="D2" i="10"/>
  <c r="Q8" i="10"/>
  <c r="N8" i="10"/>
  <c r="E14" i="10"/>
  <c r="K15" i="10"/>
  <c r="N2" i="11"/>
  <c r="Q6" i="11"/>
  <c r="AB8" i="11"/>
  <c r="T8" i="11"/>
  <c r="O8" i="11"/>
  <c r="T12" i="11"/>
  <c r="I14" i="11"/>
  <c r="O17" i="11"/>
  <c r="U3" i="12"/>
  <c r="K14" i="12"/>
  <c r="N3" i="13"/>
  <c r="R7" i="13"/>
  <c r="U14" i="13"/>
  <c r="Y14" i="13"/>
  <c r="S14" i="13"/>
  <c r="R14" i="13"/>
  <c r="O14" i="13"/>
  <c r="N14" i="13"/>
  <c r="V14" i="13"/>
  <c r="T14" i="13"/>
  <c r="Q14" i="13"/>
  <c r="M14" i="13"/>
  <c r="L14" i="13"/>
  <c r="K14" i="13"/>
  <c r="J14" i="13"/>
  <c r="Y7" i="14"/>
  <c r="E15" i="14"/>
  <c r="C3" i="15"/>
  <c r="K2" i="18"/>
  <c r="F17" i="13"/>
  <c r="E17" i="13"/>
  <c r="Y7" i="12"/>
  <c r="S7" i="12"/>
  <c r="P7" i="12"/>
  <c r="I7" i="12"/>
  <c r="G7" i="12"/>
  <c r="K7" i="12"/>
  <c r="J7" i="12"/>
  <c r="F7" i="12"/>
  <c r="D7" i="12"/>
  <c r="R15" i="6"/>
  <c r="Z15" i="5"/>
  <c r="Y3" i="6"/>
  <c r="S14" i="6"/>
  <c r="X12" i="6"/>
  <c r="O12" i="6"/>
  <c r="Z6" i="7"/>
  <c r="F12" i="7"/>
  <c r="K13" i="7"/>
  <c r="H2" i="8"/>
  <c r="M6" i="5"/>
  <c r="H13" i="5"/>
  <c r="H15" i="5"/>
  <c r="O6" i="6"/>
  <c r="L12" i="6"/>
  <c r="V13" i="6"/>
  <c r="AB14" i="6"/>
  <c r="Z15" i="6"/>
  <c r="U17" i="6"/>
  <c r="F3" i="7"/>
  <c r="C7" i="7"/>
  <c r="C8" i="7"/>
  <c r="J12" i="7"/>
  <c r="O13" i="7"/>
  <c r="U14" i="7"/>
  <c r="K17" i="7"/>
  <c r="L2" i="8"/>
  <c r="R3" i="8"/>
  <c r="O7" i="8"/>
  <c r="Q12" i="8"/>
  <c r="P13" i="8"/>
  <c r="O14" i="8"/>
  <c r="Y7" i="9"/>
  <c r="W7" i="9"/>
  <c r="R7" i="9"/>
  <c r="N7" i="9"/>
  <c r="M7" i="9"/>
  <c r="L7" i="9"/>
  <c r="K8" i="9"/>
  <c r="H12" i="9"/>
  <c r="L14" i="9"/>
  <c r="E2" i="10"/>
  <c r="F14" i="10"/>
  <c r="L15" i="10"/>
  <c r="R6" i="11"/>
  <c r="U12" i="11"/>
  <c r="J14" i="11"/>
  <c r="P17" i="11"/>
  <c r="Y3" i="12"/>
  <c r="L14" i="12"/>
  <c r="S7" i="13"/>
  <c r="E14" i="13"/>
  <c r="AB7" i="14"/>
  <c r="F15" i="14"/>
  <c r="D3" i="15"/>
  <c r="O2" i="18"/>
  <c r="Z2" i="17"/>
  <c r="W2" i="17"/>
  <c r="L2" i="17"/>
  <c r="I2" i="17"/>
  <c r="G2" i="17"/>
  <c r="F2" i="17"/>
  <c r="AB6" i="18"/>
  <c r="W6" i="18"/>
  <c r="Q6" i="18"/>
  <c r="P6" i="18"/>
  <c r="K6" i="18"/>
  <c r="J6" i="18"/>
  <c r="I6" i="18"/>
  <c r="Q13" i="18"/>
  <c r="P13" i="18"/>
  <c r="H13" i="18"/>
  <c r="AB12" i="13"/>
  <c r="M12" i="13"/>
  <c r="H12" i="13"/>
  <c r="D12" i="13"/>
  <c r="J2" i="17"/>
  <c r="E6" i="18"/>
  <c r="G13" i="18"/>
  <c r="Z3" i="18"/>
  <c r="H3" i="18"/>
  <c r="E3" i="18"/>
  <c r="D3" i="18"/>
  <c r="Y3" i="18"/>
  <c r="W3" i="18"/>
  <c r="S3" i="18"/>
  <c r="R3" i="18"/>
  <c r="Q3" i="18"/>
  <c r="M3" i="18"/>
  <c r="K3" i="18"/>
  <c r="O6" i="18"/>
  <c r="D8" i="15"/>
  <c r="AA8" i="15"/>
  <c r="Z8" i="15"/>
  <c r="W8" i="15"/>
  <c r="T8" i="15"/>
  <c r="N8" i="15"/>
  <c r="M8" i="15"/>
  <c r="I3" i="18"/>
  <c r="X6" i="18"/>
  <c r="J3" i="18"/>
  <c r="AA6" i="18"/>
  <c r="P13" i="15"/>
  <c r="J13" i="15"/>
  <c r="E13" i="15"/>
  <c r="D13" i="15"/>
  <c r="AA13" i="15"/>
  <c r="Z13" i="15"/>
  <c r="T13" i="15"/>
  <c r="S13" i="15"/>
  <c r="Z6" i="16"/>
  <c r="Q6" i="16"/>
  <c r="O6" i="16"/>
  <c r="K6" i="16"/>
  <c r="J6" i="16"/>
  <c r="G6" i="16"/>
  <c r="F6" i="16"/>
  <c r="D13" i="16"/>
  <c r="N3" i="18"/>
  <c r="AA17" i="17"/>
  <c r="Z17" i="17"/>
  <c r="W17" i="17"/>
  <c r="U17" i="17"/>
  <c r="R17" i="17"/>
  <c r="O17" i="17"/>
  <c r="M17" i="17"/>
  <c r="L17" i="17"/>
  <c r="E17" i="17"/>
  <c r="T12" i="13"/>
  <c r="H8" i="15"/>
  <c r="G13" i="15"/>
  <c r="I6" i="16"/>
  <c r="Q17" i="17"/>
  <c r="S2" i="13"/>
  <c r="U2" i="13"/>
  <c r="O2" i="13"/>
  <c r="N2" i="13"/>
  <c r="J2" i="13"/>
  <c r="I2" i="13"/>
  <c r="U12" i="13"/>
  <c r="AB13" i="14"/>
  <c r="R13" i="14"/>
  <c r="E13" i="14"/>
  <c r="J8" i="15"/>
  <c r="H13" i="15"/>
  <c r="L6" i="16"/>
  <c r="X17" i="17"/>
  <c r="V12" i="13"/>
  <c r="K8" i="15"/>
  <c r="I13" i="15"/>
  <c r="M6" i="16"/>
  <c r="Y17" i="17"/>
  <c r="D2" i="13"/>
  <c r="W12" i="13"/>
  <c r="K13" i="14"/>
  <c r="L8" i="15"/>
  <c r="K13" i="15"/>
  <c r="N6" i="16"/>
  <c r="AB17" i="17"/>
  <c r="O3" i="19"/>
  <c r="I3" i="19"/>
  <c r="H3" i="19"/>
  <c r="G3" i="19"/>
  <c r="D3" i="19"/>
  <c r="AB3" i="19"/>
  <c r="C3" i="19"/>
  <c r="Y3" i="19"/>
  <c r="W3" i="19"/>
  <c r="V3" i="19"/>
  <c r="U3" i="19"/>
  <c r="T3" i="19"/>
  <c r="S3" i="19"/>
  <c r="R3" i="19"/>
  <c r="Q3" i="19"/>
  <c r="N3" i="19"/>
  <c r="M3" i="19"/>
  <c r="K3" i="19"/>
  <c r="U6" i="14"/>
  <c r="T6" i="14"/>
  <c r="O6" i="14"/>
  <c r="K6" i="14"/>
  <c r="J6" i="14"/>
  <c r="F6" i="14"/>
  <c r="E6" i="14"/>
  <c r="O8" i="15"/>
  <c r="U12" i="15"/>
  <c r="L12" i="15"/>
  <c r="G12" i="15"/>
  <c r="D12" i="15"/>
  <c r="AA12" i="15"/>
  <c r="Z12" i="15"/>
  <c r="V12" i="15"/>
  <c r="T12" i="15"/>
  <c r="L13" i="15"/>
  <c r="S6" i="16"/>
  <c r="Y8" i="18"/>
  <c r="X8" i="18"/>
  <c r="W8" i="18"/>
  <c r="T8" i="18"/>
  <c r="S8" i="18"/>
  <c r="P8" i="18"/>
  <c r="O8" i="18"/>
  <c r="N8" i="18"/>
  <c r="K8" i="18"/>
  <c r="J8" i="18"/>
  <c r="G8" i="18"/>
  <c r="D8" i="18"/>
  <c r="C8" i="18"/>
  <c r="Z15" i="8"/>
  <c r="O15" i="8"/>
  <c r="Z17" i="9"/>
  <c r="G17" i="9"/>
  <c r="AA17" i="9"/>
  <c r="F13" i="10"/>
  <c r="F2" i="13"/>
  <c r="W13" i="13"/>
  <c r="U13" i="13"/>
  <c r="Q13" i="13"/>
  <c r="P13" i="13"/>
  <c r="M13" i="13"/>
  <c r="K13" i="13"/>
  <c r="G6" i="14"/>
  <c r="Q13" i="14"/>
  <c r="R8" i="15"/>
  <c r="C12" i="15"/>
  <c r="M13" i="15"/>
  <c r="T6" i="16"/>
  <c r="E8" i="18"/>
  <c r="F3" i="19"/>
  <c r="G2" i="13"/>
  <c r="H6" i="14"/>
  <c r="S13" i="14"/>
  <c r="X8" i="15"/>
  <c r="H12" i="15"/>
  <c r="N13" i="15"/>
  <c r="V6" i="16"/>
  <c r="U17" i="16"/>
  <c r="D17" i="16"/>
  <c r="C17" i="16"/>
  <c r="AB17" i="16"/>
  <c r="Z17" i="16"/>
  <c r="X7" i="17"/>
  <c r="W7" i="17"/>
  <c r="S7" i="17"/>
  <c r="R7" i="17"/>
  <c r="K7" i="17"/>
  <c r="J7" i="17"/>
  <c r="H7" i="17"/>
  <c r="F7" i="17"/>
  <c r="E7" i="17"/>
  <c r="D7" i="17"/>
  <c r="F8" i="18"/>
  <c r="J3" i="19"/>
  <c r="E15" i="8"/>
  <c r="H13" i="10"/>
  <c r="X15" i="7"/>
  <c r="S15" i="7"/>
  <c r="Z15" i="7"/>
  <c r="F15" i="8"/>
  <c r="F17" i="9"/>
  <c r="H2" i="13"/>
  <c r="G13" i="13"/>
  <c r="L6" i="14"/>
  <c r="X13" i="14"/>
  <c r="Y8" i="15"/>
  <c r="I12" i="15"/>
  <c r="O13" i="15"/>
  <c r="W6" i="16"/>
  <c r="G17" i="16"/>
  <c r="G7" i="17"/>
  <c r="M8" i="18"/>
  <c r="P3" i="19"/>
  <c r="W17" i="18"/>
  <c r="N6" i="19"/>
  <c r="M8" i="19"/>
  <c r="C12" i="19"/>
  <c r="K13" i="19"/>
  <c r="T14" i="19"/>
  <c r="R2" i="14"/>
  <c r="P7" i="15"/>
  <c r="E7" i="16"/>
  <c r="L6" i="17"/>
  <c r="Q12" i="17"/>
  <c r="Z12" i="18"/>
  <c r="J15" i="18"/>
  <c r="Y17" i="18"/>
  <c r="M2" i="19"/>
  <c r="O6" i="19"/>
  <c r="N8" i="19"/>
  <c r="E12" i="19"/>
  <c r="L13" i="19"/>
  <c r="U14" i="19"/>
  <c r="U2" i="14"/>
  <c r="Q7" i="15"/>
  <c r="V15" i="15"/>
  <c r="F7" i="16"/>
  <c r="C14" i="16"/>
  <c r="M6" i="17"/>
  <c r="K15" i="18"/>
  <c r="AA17" i="18"/>
  <c r="N2" i="19"/>
  <c r="R6" i="19"/>
  <c r="O8" i="19"/>
  <c r="F12" i="19"/>
  <c r="M13" i="19"/>
  <c r="V14" i="19"/>
  <c r="AB14" i="19"/>
  <c r="Q8" i="19"/>
  <c r="H12" i="19"/>
  <c r="P13" i="19"/>
  <c r="Y2" i="14"/>
  <c r="W6" i="15"/>
  <c r="T7" i="15"/>
  <c r="I7" i="16"/>
  <c r="J14" i="16"/>
  <c r="H8" i="17"/>
  <c r="U12" i="17"/>
  <c r="H15" i="17"/>
  <c r="S15" i="18"/>
  <c r="C17" i="18"/>
  <c r="R2" i="19"/>
  <c r="C7" i="19"/>
  <c r="R8" i="19"/>
  <c r="I12" i="19"/>
  <c r="Q13" i="19"/>
  <c r="C15" i="19"/>
  <c r="J13" i="11"/>
  <c r="D8" i="13"/>
  <c r="Z2" i="14"/>
  <c r="X6" i="15"/>
  <c r="U7" i="15"/>
  <c r="J7" i="16"/>
  <c r="Y14" i="16"/>
  <c r="J8" i="17"/>
  <c r="V12" i="17"/>
  <c r="I15" i="17"/>
  <c r="W15" i="18"/>
  <c r="D17" i="18"/>
  <c r="S2" i="19"/>
  <c r="F7" i="19"/>
  <c r="S8" i="19"/>
  <c r="J12" i="19"/>
  <c r="T13" i="19"/>
  <c r="E15" i="19"/>
  <c r="N8" i="17"/>
  <c r="W12" i="17"/>
  <c r="N15" i="17"/>
  <c r="X15" i="18"/>
  <c r="E17" i="18"/>
  <c r="U2" i="19"/>
  <c r="G7" i="19"/>
  <c r="T8" i="19"/>
  <c r="L12" i="19"/>
  <c r="V13" i="19"/>
  <c r="F15" i="19"/>
  <c r="Y15" i="18"/>
  <c r="G17" i="18"/>
  <c r="V2" i="19"/>
  <c r="H7" i="19"/>
  <c r="V8" i="19"/>
  <c r="P12" i="19"/>
  <c r="W13" i="19"/>
  <c r="G15" i="19"/>
  <c r="Y7" i="15"/>
  <c r="O7" i="16"/>
  <c r="X15" i="16"/>
  <c r="H14" i="18"/>
  <c r="Z15" i="18"/>
  <c r="I17" i="18"/>
  <c r="L7" i="19"/>
  <c r="W8" i="19"/>
  <c r="Q12" i="19"/>
  <c r="Y13" i="19"/>
  <c r="I8" i="13"/>
  <c r="C7" i="15"/>
  <c r="Z7" i="15"/>
  <c r="P7" i="16"/>
  <c r="Y15" i="16"/>
  <c r="Q8" i="17"/>
  <c r="AB12" i="17"/>
  <c r="L14" i="18"/>
  <c r="AA15" i="18"/>
  <c r="J17" i="18"/>
  <c r="X2" i="19"/>
  <c r="M7" i="19"/>
  <c r="Y8" i="19"/>
  <c r="R12" i="19"/>
  <c r="Z13" i="19"/>
  <c r="L15" i="19"/>
  <c r="C17" i="19"/>
  <c r="Q14" i="18"/>
  <c r="AB15" i="18"/>
  <c r="L17" i="18"/>
  <c r="Z2" i="19"/>
  <c r="R7" i="19"/>
  <c r="Z8" i="19"/>
  <c r="T12" i="19"/>
  <c r="AA13" i="19"/>
  <c r="M15" i="19"/>
  <c r="E17" i="19"/>
  <c r="O15" i="19"/>
  <c r="F17" i="19"/>
  <c r="AB8" i="19"/>
  <c r="V12" i="19"/>
  <c r="F14" i="19"/>
  <c r="P15" i="19"/>
  <c r="G17" i="19"/>
  <c r="U7" i="16"/>
  <c r="K12" i="16"/>
  <c r="U8" i="17"/>
  <c r="E12" i="17"/>
  <c r="N13" i="17"/>
  <c r="V14" i="18"/>
  <c r="O17" i="18"/>
  <c r="C8" i="19"/>
  <c r="Y12" i="19"/>
  <c r="G14" i="19"/>
  <c r="Q15" i="19"/>
  <c r="M17" i="19"/>
  <c r="H7" i="15"/>
  <c r="L17" i="15"/>
  <c r="V7" i="16"/>
  <c r="W12" i="16"/>
  <c r="V8" i="17"/>
  <c r="F12" i="17"/>
  <c r="X14" i="18"/>
  <c r="P17" i="18"/>
  <c r="D8" i="19"/>
  <c r="AA12" i="19"/>
  <c r="H14" i="19"/>
  <c r="W15" i="19"/>
  <c r="O17" i="19"/>
  <c r="E8" i="19"/>
  <c r="AB12" i="19"/>
  <c r="J14" i="19"/>
  <c r="Y15" i="19"/>
  <c r="Q17" i="19"/>
  <c r="K14" i="19"/>
  <c r="AA15" i="19"/>
  <c r="R17" i="19"/>
  <c r="S17" i="18"/>
  <c r="E6" i="19"/>
  <c r="G8" i="19"/>
  <c r="C13" i="19"/>
  <c r="L14" i="19"/>
  <c r="T17" i="18"/>
  <c r="G6" i="19"/>
  <c r="H8" i="19"/>
  <c r="D13" i="19"/>
  <c r="O14" i="19"/>
  <c r="Y17" i="19"/>
  <c r="U17" i="18"/>
  <c r="C2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<sst xmlns="http://schemas.openxmlformats.org/spreadsheetml/2006/main" count="3113" uniqueCount="587">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</sst>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41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AR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6.9741871522076577E-3</v>
      </c>
      <c r="C2" s="7">
        <f>$B2 * IFERROR(VLOOKUP("transport|PM25|Premature mortality", US_national_yearly!$D:$AM, 11, FALSE) / VLOOKUP("transport|PM25|Premature mortality", US_national_yearly!$D:$AM, 10, FALSE), 1)</f>
        <v>7.0606517890605932E-3</v>
      </c>
      <c r="D2" s="7">
        <f>$B2 * IFERROR(VLOOKUP("transport|PM25|Premature mortality", US_national_yearly!$D:$AM, 12, FALSE) / VLOOKUP("transport|PM25|Premature mortality", US_national_yearly!$D:$AM, 10, FALSE), 1)</f>
        <v>7.1471164259135269E-3</v>
      </c>
      <c r="E2" s="7">
        <f>$B2 * IFERROR(VLOOKUP("transport|PM25|Premature mortality", US_national_yearly!$D:$AM, 13, FALSE) / VLOOKUP("transport|PM25|Premature mortality", US_national_yearly!$D:$AM, 10, FALSE), 1)</f>
        <v>7.2335810627664606E-3</v>
      </c>
      <c r="F2" s="7">
        <f>$B2 * IFERROR(VLOOKUP("transport|PM25|Premature mortality", US_national_yearly!$D:$AM, 14, FALSE) / VLOOKUP("transport|PM25|Premature mortality", US_national_yearly!$D:$AM, 10, FALSE), 1)</f>
        <v>7.3200456996193953E-3</v>
      </c>
      <c r="G2" s="7">
        <f>$B2 * IFERROR(VLOOKUP("transport|PM25|Premature mortality", US_national_yearly!$D:$AM, 15, FALSE) / VLOOKUP("transport|PM25|Premature mortality", US_national_yearly!$D:$AM, 10, FALSE), 1)</f>
        <v>7.4884349277896303E-3</v>
      </c>
      <c r="H2" s="7">
        <f>$B2 * IFERROR(VLOOKUP("transport|PM25|Premature mortality", US_national_yearly!$D:$AM, 16, FALSE) / VLOOKUP("transport|PM25|Premature mortality", US_national_yearly!$D:$AM, 10, FALSE), 1)</f>
        <v>7.6568241559598653E-3</v>
      </c>
      <c r="I2" s="7">
        <f>$B2 * IFERROR(VLOOKUP("transport|PM25|Premature mortality", US_national_yearly!$D:$AM, 17, FALSE) / VLOOKUP("transport|PM25|Premature mortality", US_national_yearly!$D:$AM, 10, FALSE), 1)</f>
        <v>7.7674292893894405E-3</v>
      </c>
      <c r="J2" s="7">
        <f>$B2 * IFERROR(VLOOKUP("transport|PM25|Premature mortality", US_national_yearly!$D:$AM, 18, FALSE) / VLOOKUP("transport|PM25|Premature mortality", US_national_yearly!$D:$AM, 10, FALSE), 1)</f>
        <v>7.8780344228190184E-3</v>
      </c>
      <c r="K2" s="7">
        <f>$B2 * IFERROR(VLOOKUP("transport|PM25|Premature mortality", US_national_yearly!$D:$AM, 19, FALSE) / VLOOKUP("transport|PM25|Premature mortality", US_national_yearly!$D:$AM, 10, FALSE), 1)</f>
        <v>7.9886395562485946E-3</v>
      </c>
      <c r="L2" s="7">
        <f>$B2 * IFERROR(VLOOKUP("transport|PM25|Premature mortality", US_national_yearly!$D:$AM, 20, FALSE) / VLOOKUP("transport|PM25|Premature mortality", US_national_yearly!$D:$AM, 10, FALSE), 1)</f>
        <v>8.0992446896781742E-3</v>
      </c>
      <c r="M2" s="7">
        <f>$B2 * IFERROR(VLOOKUP("transport|PM25|Premature mortality", US_national_yearly!$D:$AM, 21, FALSE) / VLOOKUP("transport|PM25|Premature mortality", US_national_yearly!$D:$AM, 10, FALSE), 1)</f>
        <v>8.2098498231077503E-3</v>
      </c>
      <c r="N2" s="7">
        <f>$B2 * IFERROR(VLOOKUP("transport|PM25|Premature mortality", US_national_yearly!$D:$AM, 22, FALSE) / VLOOKUP("transport|PM25|Premature mortality", US_national_yearly!$D:$AM, 10, FALSE), 1)</f>
        <v>8.2957276698583469E-3</v>
      </c>
      <c r="O2" s="7">
        <f>$B2 * IFERROR(VLOOKUP("transport|PM25|Premature mortality", US_national_yearly!$D:$AM, 23, FALSE) / VLOOKUP("transport|PM25|Premature mortality", US_national_yearly!$D:$AM, 10, FALSE), 1)</f>
        <v>8.3816055166089417E-3</v>
      </c>
      <c r="P2" s="7">
        <f>$B2 * IFERROR(VLOOKUP("transport|PM25|Premature mortality", US_national_yearly!$D:$AM, 24, FALSE) / VLOOKUP("transport|PM25|Premature mortality", US_national_yearly!$D:$AM, 10, FALSE), 1)</f>
        <v>8.4674833633595382E-3</v>
      </c>
      <c r="Q2" s="7">
        <f>$B2 * IFERROR(VLOOKUP("transport|PM25|Premature mortality", US_national_yearly!$D:$AM, 25, FALSE) / VLOOKUP("transport|PM25|Premature mortality", US_national_yearly!$D:$AM, 10, FALSE), 1)</f>
        <v>8.5533612101101331E-3</v>
      </c>
      <c r="R2" s="7">
        <f>$B2 * IFERROR(VLOOKUP("transport|PM25|Premature mortality", US_national_yearly!$D:$AM, 26, FALSE) / VLOOKUP("transport|PM25|Premature mortality", US_national_yearly!$D:$AM, 10, FALSE), 1)</f>
        <v>8.6392390568607313E-3</v>
      </c>
      <c r="S2" s="7">
        <f>$B2 * IFERROR(VLOOKUP("transport|PM25|Premature mortality", US_national_yearly!$D:$AM, 27, FALSE) / VLOOKUP("transport|PM25|Premature mortality", US_national_yearly!$D:$AM, 10, FALSE), 1)</f>
        <v>8.6847345885533254E-3</v>
      </c>
      <c r="T2" s="7">
        <f>$B2 * IFERROR(VLOOKUP("transport|PM25|Premature mortality", US_national_yearly!$D:$AM, 28, FALSE) / VLOOKUP("transport|PM25|Premature mortality", US_national_yearly!$D:$AM, 10, FALSE), 1)</f>
        <v>8.7302301202459194E-3</v>
      </c>
      <c r="U2" s="7">
        <f>$B2 * IFERROR(VLOOKUP("transport|PM25|Premature mortality", US_national_yearly!$D:$AM, 29, FALSE) / VLOOKUP("transport|PM25|Premature mortality", US_national_yearly!$D:$AM, 10, FALSE), 1)</f>
        <v>8.7757256519385134E-3</v>
      </c>
      <c r="V2" s="7">
        <f>$B2 * IFERROR(VLOOKUP("transport|PM25|Premature mortality", US_national_yearly!$D:$AM, 30, FALSE) / VLOOKUP("transport|PM25|Premature mortality", US_national_yearly!$D:$AM, 10, FALSE), 1)</f>
        <v>8.8212211836311057E-3</v>
      </c>
      <c r="W2" s="7">
        <f>$B2 * IFERROR(VLOOKUP("transport|PM25|Premature mortality", US_national_yearly!$D:$AM, 31, FALSE) / VLOOKUP("transport|PM25|Premature mortality", US_national_yearly!$D:$AM, 10, FALSE), 1)</f>
        <v>8.8667167153236998E-3</v>
      </c>
      <c r="X2" s="7">
        <f>$B2 * IFERROR(VLOOKUP("transport|PM25|Premature mortality", US_national_yearly!$D:$AM, 32, FALSE) / VLOOKUP("transport|PM25|Premature mortality", US_national_yearly!$D:$AM, 10, FALSE), 1)</f>
        <v>8.8746719609724672E-3</v>
      </c>
      <c r="Y2" s="7">
        <f>$B2 * IFERROR(VLOOKUP("transport|PM25|Premature mortality", US_national_yearly!$D:$AM, 33, FALSE) / VLOOKUP("transport|PM25|Premature mortality", US_national_yearly!$D:$AM, 10, FALSE), 1)</f>
        <v>8.8826272066212363E-3</v>
      </c>
      <c r="Z2" s="7">
        <f>$B2 * IFERROR(VLOOKUP("transport|PM25|Premature mortality", US_national_yearly!$D:$AM, 34, FALSE) / VLOOKUP("transport|PM25|Premature mortality", US_national_yearly!$D:$AM, 10, FALSE), 1)</f>
        <v>8.8905824522700037E-3</v>
      </c>
      <c r="AA2" s="7">
        <f>$B2 * IFERROR(VLOOKUP("transport|PM25|Premature mortality", US_national_yearly!$D:$AM, 35, FALSE) / VLOOKUP("transport|PM25|Premature mortality", US_national_yearly!$D:$AM, 10, FALSE), 1)</f>
        <v>8.8985376979187729E-3</v>
      </c>
      <c r="AB2" s="7">
        <f>$B2 * IFERROR(VLOOKUP("transport|PM25|Premature mortality", US_national_yearly!$D:$AM, 36, FALSE) / VLOOKUP("transport|PM25|Premature mortality", US_national_yearly!$D:$AM, 10, FALSE), 1)</f>
        <v>8.906492943567542E-3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2.0356841128184952E-5</v>
      </c>
      <c r="C3" s="7">
        <f>$B3 * IFERROR(VLOOKUP("transport|PM25|Infant mortality", US_national_yearly!$D:$AM, 11, FALSE) / VLOOKUP("transport|PM25|Infant mortality", US_national_yearly!$D:$AM, 10, FALSE), 1)</f>
        <v>2.0179348049297114E-5</v>
      </c>
      <c r="D3" s="7">
        <f>$B3 * IFERROR(VLOOKUP("transport|PM25|Infant mortality", US_national_yearly!$D:$AM, 12, FALSE) / VLOOKUP("transport|PM25|Infant mortality", US_national_yearly!$D:$AM, 10, FALSE), 1)</f>
        <v>2.0001854970409273E-5</v>
      </c>
      <c r="E3" s="7">
        <f>$B3 * IFERROR(VLOOKUP("transport|PM25|Infant mortality", US_national_yearly!$D:$AM, 13, FALSE) / VLOOKUP("transport|PM25|Infant mortality", US_national_yearly!$D:$AM, 10, FALSE), 1)</f>
        <v>1.9824361891521435E-5</v>
      </c>
      <c r="F3" s="7">
        <f>$B3 * IFERROR(VLOOKUP("transport|PM25|Infant mortality", US_national_yearly!$D:$AM, 14, FALSE) / VLOOKUP("transport|PM25|Infant mortality", US_national_yearly!$D:$AM, 10, FALSE), 1)</f>
        <v>1.964686881263359E-5</v>
      </c>
      <c r="G3" s="7">
        <f>$B3 * IFERROR(VLOOKUP("transport|PM25|Infant mortality", US_national_yearly!$D:$AM, 15, FALSE) / VLOOKUP("transport|PM25|Infant mortality", US_national_yearly!$D:$AM, 10, FALSE), 1)</f>
        <v>1.3066218709845051E-5</v>
      </c>
      <c r="H3" s="7">
        <f>$B3 * IFERROR(VLOOKUP("transport|PM25|Infant mortality", US_national_yearly!$D:$AM, 16, FALSE) / VLOOKUP("transport|PM25|Infant mortality", US_national_yearly!$D:$AM, 10, FALSE), 1)</f>
        <v>6.4855686070565059E-6</v>
      </c>
      <c r="I3" s="7">
        <f>$B3 * IFERROR(VLOOKUP("transport|PM25|Infant mortality", US_national_yearly!$D:$AM, 17, FALSE) / VLOOKUP("transport|PM25|Infant mortality", US_national_yearly!$D:$AM, 10, FALSE), 1)</f>
        <v>6.4431747030054572E-6</v>
      </c>
      <c r="J3" s="7">
        <f>$B3 * IFERROR(VLOOKUP("transport|PM25|Infant mortality", US_national_yearly!$D:$AM, 18, FALSE) / VLOOKUP("transport|PM25|Infant mortality", US_national_yearly!$D:$AM, 10, FALSE), 1)</f>
        <v>6.4007807989544069E-6</v>
      </c>
      <c r="K3" s="7">
        <f>$B3 * IFERROR(VLOOKUP("transport|PM25|Infant mortality", US_national_yearly!$D:$AM, 19, FALSE) / VLOOKUP("transport|PM25|Infant mortality", US_national_yearly!$D:$AM, 10, FALSE), 1)</f>
        <v>6.3583868949033573E-6</v>
      </c>
      <c r="L3" s="7">
        <f>$B3 * IFERROR(VLOOKUP("transport|PM25|Infant mortality", US_national_yearly!$D:$AM, 20, FALSE) / VLOOKUP("transport|PM25|Infant mortality", US_national_yearly!$D:$AM, 10, FALSE), 1)</f>
        <v>6.3159929908523086E-6</v>
      </c>
      <c r="M3" s="7">
        <f>$B3 * IFERROR(VLOOKUP("transport|PM25|Infant mortality", US_national_yearly!$D:$AM, 21, FALSE) / VLOOKUP("transport|PM25|Infant mortality", US_national_yearly!$D:$AM, 10, FALSE), 1)</f>
        <v>6.2735990868012599E-6</v>
      </c>
      <c r="N3" s="7">
        <f>$B3 * IFERROR(VLOOKUP("transport|PM25|Infant mortality", US_national_yearly!$D:$AM, 22, FALSE) / VLOOKUP("transport|PM25|Infant mortality", US_national_yearly!$D:$AM, 10, FALSE), 1)</f>
        <v>6.2469710215936374E-6</v>
      </c>
      <c r="O3" s="7">
        <f>$B3 * IFERROR(VLOOKUP("transport|PM25|Infant mortality", US_national_yearly!$D:$AM, 23, FALSE) / VLOOKUP("transport|PM25|Infant mortality", US_national_yearly!$D:$AM, 10, FALSE), 1)</f>
        <v>6.2203429563860166E-6</v>
      </c>
      <c r="P3" s="7">
        <f>$B3 * IFERROR(VLOOKUP("transport|PM25|Infant mortality", US_national_yearly!$D:$AM, 24, FALSE) / VLOOKUP("transport|PM25|Infant mortality", US_national_yearly!$D:$AM, 10, FALSE), 1)</f>
        <v>6.1937148911783932E-6</v>
      </c>
      <c r="Q3" s="7">
        <f>$B3 * IFERROR(VLOOKUP("transport|PM25|Infant mortality", US_national_yearly!$D:$AM, 25, FALSE) / VLOOKUP("transport|PM25|Infant mortality", US_national_yearly!$D:$AM, 10, FALSE), 1)</f>
        <v>6.1670868259707724E-6</v>
      </c>
      <c r="R3" s="7">
        <f>$B3 * IFERROR(VLOOKUP("transport|PM25|Infant mortality", US_national_yearly!$D:$AM, 26, FALSE) / VLOOKUP("transport|PM25|Infant mortality", US_national_yearly!$D:$AM, 10, FALSE), 1)</f>
        <v>6.1404587607631498E-6</v>
      </c>
      <c r="S3" s="7">
        <f>$B3 * IFERROR(VLOOKUP("transport|PM25|Infant mortality", US_national_yearly!$D:$AM, 27, FALSE) / VLOOKUP("transport|PM25|Infant mortality", US_national_yearly!$D:$AM, 10, FALSE), 1)</f>
        <v>6.1072663330284871E-6</v>
      </c>
      <c r="T3" s="7">
        <f>$B3 * IFERROR(VLOOKUP("transport|PM25|Infant mortality", US_national_yearly!$D:$AM, 28, FALSE) / VLOOKUP("transport|PM25|Infant mortality", US_national_yearly!$D:$AM, 10, FALSE), 1)</f>
        <v>6.0740739052938236E-6</v>
      </c>
      <c r="U3" s="7">
        <f>$B3 * IFERROR(VLOOKUP("transport|PM25|Infant mortality", US_national_yearly!$D:$AM, 29, FALSE) / VLOOKUP("transport|PM25|Infant mortality", US_national_yearly!$D:$AM, 10, FALSE), 1)</f>
        <v>6.0408814775591608E-6</v>
      </c>
      <c r="V3" s="7">
        <f>$B3 * IFERROR(VLOOKUP("transport|PM25|Infant mortality", US_national_yearly!$D:$AM, 30, FALSE) / VLOOKUP("transport|PM25|Infant mortality", US_national_yearly!$D:$AM, 10, FALSE), 1)</f>
        <v>6.007689049824499E-6</v>
      </c>
      <c r="W3" s="7">
        <f>$B3 * IFERROR(VLOOKUP("transport|PM25|Infant mortality", US_national_yearly!$D:$AM, 31, FALSE) / VLOOKUP("transport|PM25|Infant mortality", US_national_yearly!$D:$AM, 10, FALSE), 1)</f>
        <v>5.9744966220898354E-6</v>
      </c>
      <c r="X3" s="7">
        <f>$B3 * IFERROR(VLOOKUP("transport|PM25|Infant mortality", US_national_yearly!$D:$AM, 32, FALSE) / VLOOKUP("transport|PM25|Infant mortality", US_national_yearly!$D:$AM, 10, FALSE), 1)</f>
        <v>5.9387110131413804E-6</v>
      </c>
      <c r="Y3" s="7">
        <f>$B3 * IFERROR(VLOOKUP("transport|PM25|Infant mortality", US_national_yearly!$D:$AM, 33, FALSE) / VLOOKUP("transport|PM25|Infant mortality", US_national_yearly!$D:$AM, 10, FALSE), 1)</f>
        <v>5.9029254041929229E-6</v>
      </c>
      <c r="Z3" s="7">
        <f>$B3 * IFERROR(VLOOKUP("transport|PM25|Infant mortality", US_national_yearly!$D:$AM, 34, FALSE) / VLOOKUP("transport|PM25|Infant mortality", US_national_yearly!$D:$AM, 10, FALSE), 1)</f>
        <v>5.8671397952444678E-6</v>
      </c>
      <c r="AA3" s="7">
        <f>$B3 * IFERROR(VLOOKUP("transport|PM25|Infant mortality", US_national_yearly!$D:$AM, 35, FALSE) / VLOOKUP("transport|PM25|Infant mortality", US_national_yearly!$D:$AM, 10, FALSE), 1)</f>
        <v>5.831354186296012E-6</v>
      </c>
      <c r="AB3" s="7">
        <f>$B3 * IFERROR(VLOOKUP("transport|PM25|Infant mortality", US_national_yearly!$D:$AM, 36, FALSE) / VLOOKUP("transport|PM25|Infant mortality", US_national_yearly!$D:$AM, 10, FALSE), 1)</f>
        <v>5.795568577347557E-6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1.6431776176936589E-2</v>
      </c>
      <c r="C6" s="7">
        <f>$B6 * IFERROR(VLOOKUP("transport|PM25|Asthma symptoms cough", US_national_yearly!$D:$AM, 11, FALSE) / VLOOKUP("transport|PM25|Asthma symptoms cough", US_national_yearly!$D:$AM, 10, FALSE), 1)</f>
        <v>1.6431776176936589E-2</v>
      </c>
      <c r="D6" s="7">
        <f>$B6 * IFERROR(VLOOKUP("transport|PM25|Asthma symptoms cough", US_national_yearly!$D:$AM, 12, FALSE) / VLOOKUP("transport|PM25|Asthma symptoms cough", US_national_yearly!$D:$AM, 10, FALSE), 1)</f>
        <v>1.6431776176936589E-2</v>
      </c>
      <c r="E6" s="7">
        <f>$B6 * IFERROR(VLOOKUP("transport|PM25|Asthma symptoms cough", US_national_yearly!$D:$AM, 13, FALSE) / VLOOKUP("transport|PM25|Asthma symptoms cough", US_national_yearly!$D:$AM, 10, FALSE), 1)</f>
        <v>1.6431776176936589E-2</v>
      </c>
      <c r="F6" s="7">
        <f>$B6 * IFERROR(VLOOKUP("transport|PM25|Asthma symptoms cough", US_national_yearly!$D:$AM, 14, FALSE) / VLOOKUP("transport|PM25|Asthma symptoms cough", US_national_yearly!$D:$AM, 10, FALSE), 1)</f>
        <v>1.6431776176936589E-2</v>
      </c>
      <c r="G6" s="7">
        <f>$B6 * IFERROR(VLOOKUP("transport|PM25|Asthma symptoms cough", US_national_yearly!$D:$AM, 15, FALSE) / VLOOKUP("transport|PM25|Asthma symptoms cough", US_national_yearly!$D:$AM, 10, FALSE), 1)</f>
        <v>1.6431776176936589E-2</v>
      </c>
      <c r="H6" s="7">
        <f>$B6 * IFERROR(VLOOKUP("transport|PM25|Asthma symptoms cough", US_national_yearly!$D:$AM, 16, FALSE) / VLOOKUP("transport|PM25|Asthma symptoms cough", US_national_yearly!$D:$AM, 10, FALSE), 1)</f>
        <v>1.6431776176936589E-2</v>
      </c>
      <c r="I6" s="7">
        <f>$B6 * IFERROR(VLOOKUP("transport|PM25|Asthma symptoms cough", US_national_yearly!$D:$AM, 17, FALSE) / VLOOKUP("transport|PM25|Asthma symptoms cough", US_national_yearly!$D:$AM, 10, FALSE), 1)</f>
        <v>1.6431776176936589E-2</v>
      </c>
      <c r="J6" s="7">
        <f>$B6 * IFERROR(VLOOKUP("transport|PM25|Asthma symptoms cough", US_national_yearly!$D:$AM, 18, FALSE) / VLOOKUP("transport|PM25|Asthma symptoms cough", US_national_yearly!$D:$AM, 10, FALSE), 1)</f>
        <v>1.6431776176936589E-2</v>
      </c>
      <c r="K6" s="7">
        <f>$B6 * IFERROR(VLOOKUP("transport|PM25|Asthma symptoms cough", US_national_yearly!$D:$AM, 19, FALSE) / VLOOKUP("transport|PM25|Asthma symptoms cough", US_national_yearly!$D:$AM, 10, FALSE), 1)</f>
        <v>1.6431776176936589E-2</v>
      </c>
      <c r="L6" s="7">
        <f>$B6 * IFERROR(VLOOKUP("transport|PM25|Asthma symptoms cough", US_national_yearly!$D:$AM, 20, FALSE) / VLOOKUP("transport|PM25|Asthma symptoms cough", US_national_yearly!$D:$AM, 10, FALSE), 1)</f>
        <v>1.6431776176936589E-2</v>
      </c>
      <c r="M6" s="7">
        <f>$B6 * IFERROR(VLOOKUP("transport|PM25|Asthma symptoms cough", US_national_yearly!$D:$AM, 21, FALSE) / VLOOKUP("transport|PM25|Asthma symptoms cough", US_national_yearly!$D:$AM, 10, FALSE), 1)</f>
        <v>1.6431776176936589E-2</v>
      </c>
      <c r="N6" s="7">
        <f>$B6 * IFERROR(VLOOKUP("transport|PM25|Asthma symptoms cough", US_national_yearly!$D:$AM, 22, FALSE) / VLOOKUP("transport|PM25|Asthma symptoms cough", US_national_yearly!$D:$AM, 10, FALSE), 1)</f>
        <v>1.6431776176936589E-2</v>
      </c>
      <c r="O6" s="7">
        <f>$B6 * IFERROR(VLOOKUP("transport|PM25|Asthma symptoms cough", US_national_yearly!$D:$AM, 23, FALSE) / VLOOKUP("transport|PM25|Asthma symptoms cough", US_national_yearly!$D:$AM, 10, FALSE), 1)</f>
        <v>1.6431776176936589E-2</v>
      </c>
      <c r="P6" s="7">
        <f>$B6 * IFERROR(VLOOKUP("transport|PM25|Asthma symptoms cough", US_national_yearly!$D:$AM, 24, FALSE) / VLOOKUP("transport|PM25|Asthma symptoms cough", US_national_yearly!$D:$AM, 10, FALSE), 1)</f>
        <v>1.6431776176936589E-2</v>
      </c>
      <c r="Q6" s="7">
        <f>$B6 * IFERROR(VLOOKUP("transport|PM25|Asthma symptoms cough", US_national_yearly!$D:$AM, 25, FALSE) / VLOOKUP("transport|PM25|Asthma symptoms cough", US_national_yearly!$D:$AM, 10, FALSE), 1)</f>
        <v>1.6431776176936589E-2</v>
      </c>
      <c r="R6" s="7">
        <f>$B6 * IFERROR(VLOOKUP("transport|PM25|Asthma symptoms cough", US_national_yearly!$D:$AM, 26, FALSE) / VLOOKUP("transport|PM25|Asthma symptoms cough", US_national_yearly!$D:$AM, 10, FALSE), 1)</f>
        <v>1.6431776176936589E-2</v>
      </c>
      <c r="S6" s="7">
        <f>$B6 * IFERROR(VLOOKUP("transport|PM25|Asthma symptoms cough", US_national_yearly!$D:$AM, 27, FALSE) / VLOOKUP("transport|PM25|Asthma symptoms cough", US_national_yearly!$D:$AM, 10, FALSE), 1)</f>
        <v>1.6431776176936589E-2</v>
      </c>
      <c r="T6" s="7">
        <f>$B6 * IFERROR(VLOOKUP("transport|PM25|Asthma symptoms cough", US_national_yearly!$D:$AM, 28, FALSE) / VLOOKUP("transport|PM25|Asthma symptoms cough", US_national_yearly!$D:$AM, 10, FALSE), 1)</f>
        <v>1.6431776176936589E-2</v>
      </c>
      <c r="U6" s="7">
        <f>$B6 * IFERROR(VLOOKUP("transport|PM25|Asthma symptoms cough", US_national_yearly!$D:$AM, 29, FALSE) / VLOOKUP("transport|PM25|Asthma symptoms cough", US_national_yearly!$D:$AM, 10, FALSE), 1)</f>
        <v>1.6431776176936589E-2</v>
      </c>
      <c r="V6" s="7">
        <f>$B6 * IFERROR(VLOOKUP("transport|PM25|Asthma symptoms cough", US_national_yearly!$D:$AM, 30, FALSE) / VLOOKUP("transport|PM25|Asthma symptoms cough", US_national_yearly!$D:$AM, 10, FALSE), 1)</f>
        <v>1.6431776176936589E-2</v>
      </c>
      <c r="W6" s="7">
        <f>$B6 * IFERROR(VLOOKUP("transport|PM25|Asthma symptoms cough", US_national_yearly!$D:$AM, 31, FALSE) / VLOOKUP("transport|PM25|Asthma symptoms cough", US_national_yearly!$D:$AM, 10, FALSE), 1)</f>
        <v>1.6431776176936589E-2</v>
      </c>
      <c r="X6" s="7">
        <f>$B6 * IFERROR(VLOOKUP("transport|PM25|Asthma symptoms cough", US_national_yearly!$D:$AM, 32, FALSE) / VLOOKUP("transport|PM25|Asthma symptoms cough", US_national_yearly!$D:$AM, 10, FALSE), 1)</f>
        <v>1.6431776176936589E-2</v>
      </c>
      <c r="Y6" s="7">
        <f>$B6 * IFERROR(VLOOKUP("transport|PM25|Asthma symptoms cough", US_national_yearly!$D:$AM, 33, FALSE) / VLOOKUP("transport|PM25|Asthma symptoms cough", US_national_yearly!$D:$AM, 10, FALSE), 1)</f>
        <v>1.6431776176936589E-2</v>
      </c>
      <c r="Z6" s="7">
        <f>$B6 * IFERROR(VLOOKUP("transport|PM25|Asthma symptoms cough", US_national_yearly!$D:$AM, 34, FALSE) / VLOOKUP("transport|PM25|Asthma symptoms cough", US_national_yearly!$D:$AM, 10, FALSE), 1)</f>
        <v>1.6431776176936589E-2</v>
      </c>
      <c r="AA6" s="7">
        <f>$B6 * IFERROR(VLOOKUP("transport|PM25|Asthma symptoms cough", US_national_yearly!$D:$AM, 35, FALSE) / VLOOKUP("transport|PM25|Asthma symptoms cough", US_national_yearly!$D:$AM, 10, FALSE), 1)</f>
        <v>1.6431776176936589E-2</v>
      </c>
      <c r="AB6" s="7">
        <f>$B6 * IFERROR(VLOOKUP("transport|PM25|Asthma symptoms cough", US_national_yearly!$D:$AM, 36, FALSE) / VLOOKUP("transport|PM25|Asthma symptoms cough", US_national_yearly!$D:$AM, 10, FALSE), 1)</f>
        <v>1.6431776176936589E-2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2.2127611125619239E-2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2.2127611125619239E-2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2.2127611125619239E-2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2.2127611125619239E-2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2.2127611125619239E-2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2.2127611125619239E-2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2.2127611125619239E-2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2.2127611125619239E-2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2.2127611125619239E-2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2.2127611125619239E-2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2.2127611125619239E-2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2.2127611125619239E-2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2.2127611125619239E-2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2.2127611125619239E-2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2.2127611125619239E-2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2.2127611125619239E-2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2.2127611125619239E-2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2.2127611125619239E-2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2.2127611125619239E-2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2.2127611125619239E-2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2.2127611125619239E-2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2.2127611125619239E-2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2.2127611125619239E-2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2.2127611125619239E-2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2.2127611125619239E-2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2.2127611125619239E-2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2.2127611125619239E-2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3.3807809708015099E-2</v>
      </c>
      <c r="C8" s="7">
        <f>$B8 * IFERROR(VLOOKUP("transport|PM25|Asthma symptoms wheeze", US_national_yearly!$D:$AM, 11, FALSE) / VLOOKUP("transport|PM25|Asthma symptoms wheeze", US_national_yearly!$D:$AM, 10, FALSE), 1)</f>
        <v>3.3807809708015099E-2</v>
      </c>
      <c r="D8" s="7">
        <f>$B8 * IFERROR(VLOOKUP("transport|PM25|Asthma symptoms wheeze", US_national_yearly!$D:$AM, 12, FALSE) / VLOOKUP("transport|PM25|Asthma symptoms wheeze", US_national_yearly!$D:$AM, 10, FALSE), 1)</f>
        <v>3.3807809708015099E-2</v>
      </c>
      <c r="E8" s="7">
        <f>$B8 * IFERROR(VLOOKUP("transport|PM25|Asthma symptoms wheeze", US_national_yearly!$D:$AM, 13, FALSE) / VLOOKUP("transport|PM25|Asthma symptoms wheeze", US_national_yearly!$D:$AM, 10, FALSE), 1)</f>
        <v>3.3807809708015099E-2</v>
      </c>
      <c r="F8" s="7">
        <f>$B8 * IFERROR(VLOOKUP("transport|PM25|Asthma symptoms wheeze", US_national_yearly!$D:$AM, 14, FALSE) / VLOOKUP("transport|PM25|Asthma symptoms wheeze", US_national_yearly!$D:$AM, 10, FALSE), 1)</f>
        <v>3.3807809708015099E-2</v>
      </c>
      <c r="G8" s="7">
        <f>$B8 * IFERROR(VLOOKUP("transport|PM25|Asthma symptoms wheeze", US_national_yearly!$D:$AM, 15, FALSE) / VLOOKUP("transport|PM25|Asthma symptoms wheeze", US_national_yearly!$D:$AM, 10, FALSE), 1)</f>
        <v>3.3807809708015099E-2</v>
      </c>
      <c r="H8" s="7">
        <f>$B8 * IFERROR(VLOOKUP("transport|PM25|Asthma symptoms wheeze", US_national_yearly!$D:$AM, 16, FALSE) / VLOOKUP("transport|PM25|Asthma symptoms wheeze", US_national_yearly!$D:$AM, 10, FALSE), 1)</f>
        <v>3.3807809708015099E-2</v>
      </c>
      <c r="I8" s="7">
        <f>$B8 * IFERROR(VLOOKUP("transport|PM25|Asthma symptoms wheeze", US_national_yearly!$D:$AM, 17, FALSE) / VLOOKUP("transport|PM25|Asthma symptoms wheeze", US_national_yearly!$D:$AM, 10, FALSE), 1)</f>
        <v>3.3807809708015099E-2</v>
      </c>
      <c r="J8" s="7">
        <f>$B8 * IFERROR(VLOOKUP("transport|PM25|Asthma symptoms wheeze", US_national_yearly!$D:$AM, 18, FALSE) / VLOOKUP("transport|PM25|Asthma symptoms wheeze", US_national_yearly!$D:$AM, 10, FALSE), 1)</f>
        <v>3.3807809708015099E-2</v>
      </c>
      <c r="K8" s="7">
        <f>$B8 * IFERROR(VLOOKUP("transport|PM25|Asthma symptoms wheeze", US_national_yearly!$D:$AM, 19, FALSE) / VLOOKUP("transport|PM25|Asthma symptoms wheeze", US_national_yearly!$D:$AM, 10, FALSE), 1)</f>
        <v>3.3807809708015099E-2</v>
      </c>
      <c r="L8" s="7">
        <f>$B8 * IFERROR(VLOOKUP("transport|PM25|Asthma symptoms wheeze", US_national_yearly!$D:$AM, 20, FALSE) / VLOOKUP("transport|PM25|Asthma symptoms wheeze", US_national_yearly!$D:$AM, 10, FALSE), 1)</f>
        <v>3.3807809708015099E-2</v>
      </c>
      <c r="M8" s="7">
        <f>$B8 * IFERROR(VLOOKUP("transport|PM25|Asthma symptoms wheeze", US_national_yearly!$D:$AM, 21, FALSE) / VLOOKUP("transport|PM25|Asthma symptoms wheeze", US_national_yearly!$D:$AM, 10, FALSE), 1)</f>
        <v>3.3807809708015099E-2</v>
      </c>
      <c r="N8" s="7">
        <f>$B8 * IFERROR(VLOOKUP("transport|PM25|Asthma symptoms wheeze", US_national_yearly!$D:$AM, 22, FALSE) / VLOOKUP("transport|PM25|Asthma symptoms wheeze", US_national_yearly!$D:$AM, 10, FALSE), 1)</f>
        <v>3.3807809708015099E-2</v>
      </c>
      <c r="O8" s="7">
        <f>$B8 * IFERROR(VLOOKUP("transport|PM25|Asthma symptoms wheeze", US_national_yearly!$D:$AM, 23, FALSE) / VLOOKUP("transport|PM25|Asthma symptoms wheeze", US_national_yearly!$D:$AM, 10, FALSE), 1)</f>
        <v>3.3807809708015099E-2</v>
      </c>
      <c r="P8" s="7">
        <f>$B8 * IFERROR(VLOOKUP("transport|PM25|Asthma symptoms wheeze", US_national_yearly!$D:$AM, 24, FALSE) / VLOOKUP("transport|PM25|Asthma symptoms wheeze", US_national_yearly!$D:$AM, 10, FALSE), 1)</f>
        <v>3.3807809708015099E-2</v>
      </c>
      <c r="Q8" s="7">
        <f>$B8 * IFERROR(VLOOKUP("transport|PM25|Asthma symptoms wheeze", US_national_yearly!$D:$AM, 25, FALSE) / VLOOKUP("transport|PM25|Asthma symptoms wheeze", US_national_yearly!$D:$AM, 10, FALSE), 1)</f>
        <v>3.3807809708015099E-2</v>
      </c>
      <c r="R8" s="7">
        <f>$B8 * IFERROR(VLOOKUP("transport|PM25|Asthma symptoms wheeze", US_national_yearly!$D:$AM, 26, FALSE) / VLOOKUP("transport|PM25|Asthma symptoms wheeze", US_national_yearly!$D:$AM, 10, FALSE), 1)</f>
        <v>3.3807809708015099E-2</v>
      </c>
      <c r="S8" s="7">
        <f>$B8 * IFERROR(VLOOKUP("transport|PM25|Asthma symptoms wheeze", US_national_yearly!$D:$AM, 27, FALSE) / VLOOKUP("transport|PM25|Asthma symptoms wheeze", US_national_yearly!$D:$AM, 10, FALSE), 1)</f>
        <v>3.3807809708015099E-2</v>
      </c>
      <c r="T8" s="7">
        <f>$B8 * IFERROR(VLOOKUP("transport|PM25|Asthma symptoms wheeze", US_national_yearly!$D:$AM, 28, FALSE) / VLOOKUP("transport|PM25|Asthma symptoms wheeze", US_national_yearly!$D:$AM, 10, FALSE), 1)</f>
        <v>3.3807809708015099E-2</v>
      </c>
      <c r="U8" s="7">
        <f>$B8 * IFERROR(VLOOKUP("transport|PM25|Asthma symptoms wheeze", US_national_yearly!$D:$AM, 29, FALSE) / VLOOKUP("transport|PM25|Asthma symptoms wheeze", US_national_yearly!$D:$AM, 10, FALSE), 1)</f>
        <v>3.3807809708015099E-2</v>
      </c>
      <c r="V8" s="7">
        <f>$B8 * IFERROR(VLOOKUP("transport|PM25|Asthma symptoms wheeze", US_national_yearly!$D:$AM, 30, FALSE) / VLOOKUP("transport|PM25|Asthma symptoms wheeze", US_national_yearly!$D:$AM, 10, FALSE), 1)</f>
        <v>3.3807809708015099E-2</v>
      </c>
      <c r="W8" s="7">
        <f>$B8 * IFERROR(VLOOKUP("transport|PM25|Asthma symptoms wheeze", US_national_yearly!$D:$AM, 31, FALSE) / VLOOKUP("transport|PM25|Asthma symptoms wheeze", US_national_yearly!$D:$AM, 10, FALSE), 1)</f>
        <v>3.3807809708015099E-2</v>
      </c>
      <c r="X8" s="7">
        <f>$B8 * IFERROR(VLOOKUP("transport|PM25|Asthma symptoms wheeze", US_national_yearly!$D:$AM, 32, FALSE) / VLOOKUP("transport|PM25|Asthma symptoms wheeze", US_national_yearly!$D:$AM, 10, FALSE), 1)</f>
        <v>3.3807809708015099E-2</v>
      </c>
      <c r="Y8" s="7">
        <f>$B8 * IFERROR(VLOOKUP("transport|PM25|Asthma symptoms wheeze", US_national_yearly!$D:$AM, 33, FALSE) / VLOOKUP("transport|PM25|Asthma symptoms wheeze", US_national_yearly!$D:$AM, 10, FALSE), 1)</f>
        <v>3.3807809708015099E-2</v>
      </c>
      <c r="Z8" s="7">
        <f>$B8 * IFERROR(VLOOKUP("transport|PM25|Asthma symptoms wheeze", US_national_yearly!$D:$AM, 34, FALSE) / VLOOKUP("transport|PM25|Asthma symptoms wheeze", US_national_yearly!$D:$AM, 10, FALSE), 1)</f>
        <v>3.3807809708015099E-2</v>
      </c>
      <c r="AA8" s="7">
        <f>$B8 * IFERROR(VLOOKUP("transport|PM25|Asthma symptoms wheeze", US_national_yearly!$D:$AM, 35, FALSE) / VLOOKUP("transport|PM25|Asthma symptoms wheeze", US_national_yearly!$D:$AM, 10, FALSE), 1)</f>
        <v>3.3807809708015099E-2</v>
      </c>
      <c r="AB8" s="7">
        <f>$B8 * IFERROR(VLOOKUP("transport|PM25|Asthma symptoms wheeze", US_national_yearly!$D:$AM, 36, FALSE) / VLOOKUP("transport|PM25|Asthma symptoms wheeze", US_national_yearly!$D:$AM, 10, FALSE), 1)</f>
        <v>3.3807809708015099E-2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5.5569522338691556E-4</v>
      </c>
      <c r="C12" s="7">
        <f>$B12 * IFERROR(VLOOKUP("transport|PM25|Respiratory hospital admissions", US_national_yearly!$D:$AM, 11, FALSE) / VLOOKUP("transport|PM25|Respiratory hospital admissions", US_national_yearly!$D:$AM, 10, FALSE), 1)</f>
        <v>5.588802444305461E-4</v>
      </c>
      <c r="D12" s="7">
        <f>$B12 * IFERROR(VLOOKUP("transport|PM25|Respiratory hospital admissions", US_national_yearly!$D:$AM, 12, FALSE) / VLOOKUP("transport|PM25|Respiratory hospital admissions", US_national_yearly!$D:$AM, 10, FALSE), 1)</f>
        <v>5.6206526547417665E-4</v>
      </c>
      <c r="E12" s="7">
        <f>$B12 * IFERROR(VLOOKUP("transport|PM25|Respiratory hospital admissions", US_national_yearly!$D:$AM, 13, FALSE) / VLOOKUP("transport|PM25|Respiratory hospital admissions", US_national_yearly!$D:$AM, 10, FALSE), 1)</f>
        <v>5.652502865178072E-4</v>
      </c>
      <c r="F12" s="7">
        <f>$B12 * IFERROR(VLOOKUP("transport|PM25|Respiratory hospital admissions", US_national_yearly!$D:$AM, 14, FALSE) / VLOOKUP("transport|PM25|Respiratory hospital admissions", US_national_yearly!$D:$AM, 10, FALSE), 1)</f>
        <v>5.6843530756143764E-4</v>
      </c>
      <c r="G12" s="7">
        <f>$B12 * IFERROR(VLOOKUP("transport|PM25|Respiratory hospital admissions", US_national_yearly!$D:$AM, 15, FALSE) / VLOOKUP("transport|PM25|Respiratory hospital admissions", US_national_yearly!$D:$AM, 10, FALSE), 1)</f>
        <v>5.7187526614650935E-4</v>
      </c>
      <c r="H12" s="7">
        <f>$B12 * IFERROR(VLOOKUP("transport|PM25|Respiratory hospital admissions", US_national_yearly!$D:$AM, 16, FALSE) / VLOOKUP("transport|PM25|Respiratory hospital admissions", US_national_yearly!$D:$AM, 10, FALSE), 1)</f>
        <v>5.7531522473158096E-4</v>
      </c>
      <c r="I12" s="7">
        <f>$B12 * IFERROR(VLOOKUP("transport|PM25|Respiratory hospital admissions", US_national_yearly!$D:$AM, 17, FALSE) / VLOOKUP("transport|PM25|Respiratory hospital admissions", US_national_yearly!$D:$AM, 10, FALSE), 1)</f>
        <v>5.7860197446350922E-4</v>
      </c>
      <c r="J12" s="7">
        <f>$B12 * IFERROR(VLOOKUP("transport|PM25|Respiratory hospital admissions", US_national_yearly!$D:$AM, 18, FALSE) / VLOOKUP("transport|PM25|Respiratory hospital admissions", US_national_yearly!$D:$AM, 10, FALSE), 1)</f>
        <v>5.8188872419543769E-4</v>
      </c>
      <c r="K12" s="7">
        <f>$B12 * IFERROR(VLOOKUP("transport|PM25|Respiratory hospital admissions", US_national_yearly!$D:$AM, 19, FALSE) / VLOOKUP("transport|PM25|Respiratory hospital admissions", US_national_yearly!$D:$AM, 10, FALSE), 1)</f>
        <v>5.8517547392736605E-4</v>
      </c>
      <c r="L12" s="7">
        <f>$B12 * IFERROR(VLOOKUP("transport|PM25|Respiratory hospital admissions", US_national_yearly!$D:$AM, 20, FALSE) / VLOOKUP("transport|PM25|Respiratory hospital admissions", US_national_yearly!$D:$AM, 10, FALSE), 1)</f>
        <v>5.8846222365929453E-4</v>
      </c>
      <c r="M12" s="7">
        <f>$B12 * IFERROR(VLOOKUP("transport|PM25|Respiratory hospital admissions", US_national_yearly!$D:$AM, 21, FALSE) / VLOOKUP("transport|PM25|Respiratory hospital admissions", US_national_yearly!$D:$AM, 10, FALSE), 1)</f>
        <v>5.9174897339122267E-4</v>
      </c>
      <c r="N12" s="7">
        <f>$B12 * IFERROR(VLOOKUP("transport|PM25|Respiratory hospital admissions", US_national_yearly!$D:$AM, 22, FALSE) / VLOOKUP("transport|PM25|Respiratory hospital admissions", US_national_yearly!$D:$AM, 10, FALSE), 1)</f>
        <v>5.9410796958719642E-4</v>
      </c>
      <c r="O12" s="7">
        <f>$B12 * IFERROR(VLOOKUP("transport|PM25|Respiratory hospital admissions", US_national_yearly!$D:$AM, 23, FALSE) / VLOOKUP("transport|PM25|Respiratory hospital admissions", US_national_yearly!$D:$AM, 10, FALSE), 1)</f>
        <v>5.9646696578317005E-4</v>
      </c>
      <c r="P12" s="7">
        <f>$B12 * IFERROR(VLOOKUP("transport|PM25|Respiratory hospital admissions", US_national_yearly!$D:$AM, 24, FALSE) / VLOOKUP("transport|PM25|Respiratory hospital admissions", US_national_yearly!$D:$AM, 10, FALSE), 1)</f>
        <v>5.9882596197914347E-4</v>
      </c>
      <c r="Q12" s="7">
        <f>$B12 * IFERROR(VLOOKUP("transport|PM25|Respiratory hospital admissions", US_national_yearly!$D:$AM, 25, FALSE) / VLOOKUP("transport|PM25|Respiratory hospital admissions", US_national_yearly!$D:$AM, 10, FALSE), 1)</f>
        <v>6.0118495817511699E-4</v>
      </c>
      <c r="R12" s="7">
        <f>$B12 * IFERROR(VLOOKUP("transport|PM25|Respiratory hospital admissions", US_national_yearly!$D:$AM, 26, FALSE) / VLOOKUP("transport|PM25|Respiratory hospital admissions", US_national_yearly!$D:$AM, 10, FALSE), 1)</f>
        <v>6.0354395437109073E-4</v>
      </c>
      <c r="S12" s="7">
        <f>$B12 * IFERROR(VLOOKUP("transport|PM25|Respiratory hospital admissions", US_national_yearly!$D:$AM, 27, FALSE) / VLOOKUP("transport|PM25|Respiratory hospital admissions", US_national_yearly!$D:$AM, 10, FALSE), 1)</f>
        <v>6.0579002958956196E-4</v>
      </c>
      <c r="T12" s="7">
        <f>$B12 * IFERROR(VLOOKUP("transport|PM25|Respiratory hospital admissions", US_national_yearly!$D:$AM, 28, FALSE) / VLOOKUP("transport|PM25|Respiratory hospital admissions", US_national_yearly!$D:$AM, 10, FALSE), 1)</f>
        <v>6.080361048080333E-4</v>
      </c>
      <c r="U12" s="7">
        <f>$B12 * IFERROR(VLOOKUP("transport|PM25|Respiratory hospital admissions", US_national_yearly!$D:$AM, 29, FALSE) / VLOOKUP("transport|PM25|Respiratory hospital admissions", US_national_yearly!$D:$AM, 10, FALSE), 1)</f>
        <v>6.1028218002650441E-4</v>
      </c>
      <c r="V12" s="7">
        <f>$B12 * IFERROR(VLOOKUP("transport|PM25|Respiratory hospital admissions", US_national_yearly!$D:$AM, 30, FALSE) / VLOOKUP("transport|PM25|Respiratory hospital admissions", US_national_yearly!$D:$AM, 10, FALSE), 1)</f>
        <v>6.1252825524497564E-4</v>
      </c>
      <c r="W12" s="7">
        <f>$B12 * IFERROR(VLOOKUP("transport|PM25|Respiratory hospital admissions", US_national_yearly!$D:$AM, 31, FALSE) / VLOOKUP("transport|PM25|Respiratory hospital admissions", US_national_yearly!$D:$AM, 10, FALSE), 1)</f>
        <v>6.1477433046344676E-4</v>
      </c>
      <c r="X12" s="7">
        <f>$B12 * IFERROR(VLOOKUP("transport|PM25|Respiratory hospital admissions", US_national_yearly!$D:$AM, 32, FALSE) / VLOOKUP("transport|PM25|Respiratory hospital admissions", US_national_yearly!$D:$AM, 10, FALSE), 1)</f>
        <v>6.1693508347493388E-4</v>
      </c>
      <c r="Y12" s="7">
        <f>$B12 * IFERROR(VLOOKUP("transport|PM25|Respiratory hospital admissions", US_national_yearly!$D:$AM, 33, FALSE) / VLOOKUP("transport|PM25|Respiratory hospital admissions", US_national_yearly!$D:$AM, 10, FALSE), 1)</f>
        <v>6.1909583648642067E-4</v>
      </c>
      <c r="Z12" s="7">
        <f>$B12 * IFERROR(VLOOKUP("transport|PM25|Respiratory hospital admissions", US_national_yearly!$D:$AM, 34, FALSE) / VLOOKUP("transport|PM25|Respiratory hospital admissions", US_national_yearly!$D:$AM, 10, FALSE), 1)</f>
        <v>6.2125658949790756E-4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6.2341734250939435E-4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6.2557809552088125E-4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2.7873955903995403E-3</v>
      </c>
      <c r="C13" s="7">
        <f>$B13 * IFERROR(VLOOKUP("transport|PM25|Non-fatal heart attacks", US_national_yearly!$D:$AM, 11, FALSE) / VLOOKUP("transport|PM25|Non-fatal heart attacks", US_national_yearly!$D:$AM, 10, FALSE), 1)</f>
        <v>2.8684325771137771E-3</v>
      </c>
      <c r="D13" s="7">
        <f>$B13 * IFERROR(VLOOKUP("transport|PM25|Non-fatal heart attacks", US_national_yearly!$D:$AM, 12, FALSE) / VLOOKUP("transport|PM25|Non-fatal heart attacks", US_national_yearly!$D:$AM, 10, FALSE), 1)</f>
        <v>2.9494695638280135E-3</v>
      </c>
      <c r="E13" s="7">
        <f>$B13 * IFERROR(VLOOKUP("transport|PM25|Non-fatal heart attacks", US_national_yearly!$D:$AM, 13, FALSE) / VLOOKUP("transport|PM25|Non-fatal heart attacks", US_national_yearly!$D:$AM, 10, FALSE), 1)</f>
        <v>3.0305065505422499E-3</v>
      </c>
      <c r="F13" s="7">
        <f>$B13 * IFERROR(VLOOKUP("transport|PM25|Non-fatal heart attacks", US_national_yearly!$D:$AM, 14, FALSE) / VLOOKUP("transport|PM25|Non-fatal heart attacks", US_national_yearly!$D:$AM, 10, FALSE), 1)</f>
        <v>3.1115435372564872E-3</v>
      </c>
      <c r="G13" s="7">
        <f>$B13 * IFERROR(VLOOKUP("transport|PM25|Non-fatal heart attacks", US_national_yearly!$D:$AM, 15, FALSE) / VLOOKUP("transport|PM25|Non-fatal heart attacks", US_national_yearly!$D:$AM, 10, FALSE), 1)</f>
        <v>3.1879665387869911E-3</v>
      </c>
      <c r="H13" s="7">
        <f>$B13 * IFERROR(VLOOKUP("transport|PM25|Non-fatal heart attacks", US_national_yearly!$D:$AM, 16, FALSE) / VLOOKUP("transport|PM25|Non-fatal heart attacks", US_national_yearly!$D:$AM, 10, FALSE), 1)</f>
        <v>3.2643895403174942E-3</v>
      </c>
      <c r="I13" s="7">
        <f>$B13 * IFERROR(VLOOKUP("transport|PM25|Non-fatal heart attacks", US_national_yearly!$D:$AM, 17, FALSE) / VLOOKUP("transport|PM25|Non-fatal heart attacks", US_national_yearly!$D:$AM, 10, FALSE), 1)</f>
        <v>3.3258082034117176E-3</v>
      </c>
      <c r="J13" s="7">
        <f>$B13 * IFERROR(VLOOKUP("transport|PM25|Non-fatal heart attacks", US_national_yearly!$D:$AM, 18, FALSE) / VLOOKUP("transport|PM25|Non-fatal heart attacks", US_national_yearly!$D:$AM, 10, FALSE), 1)</f>
        <v>3.3872268665059409E-3</v>
      </c>
      <c r="K13" s="7">
        <f>$B13 * IFERROR(VLOOKUP("transport|PM25|Non-fatal heart attacks", US_national_yearly!$D:$AM, 19, FALSE) / VLOOKUP("transport|PM25|Non-fatal heart attacks", US_national_yearly!$D:$AM, 10, FALSE), 1)</f>
        <v>3.4486455296001647E-3</v>
      </c>
      <c r="L13" s="7">
        <f>$B13 * IFERROR(VLOOKUP("transport|PM25|Non-fatal heart attacks", US_national_yearly!$D:$AM, 20, FALSE) / VLOOKUP("transport|PM25|Non-fatal heart attacks", US_national_yearly!$D:$AM, 10, FALSE), 1)</f>
        <v>3.510064192694388E-3</v>
      </c>
      <c r="M13" s="7">
        <f>$B13 * IFERROR(VLOOKUP("transport|PM25|Non-fatal heart attacks", US_national_yearly!$D:$AM, 21, FALSE) / VLOOKUP("transport|PM25|Non-fatal heart attacks", US_national_yearly!$D:$AM, 10, FALSE), 1)</f>
        <v>3.5714828557886118E-3</v>
      </c>
      <c r="N13" s="7">
        <f>$B13 * IFERROR(VLOOKUP("transport|PM25|Non-fatal heart attacks", US_national_yearly!$D:$AM, 22, FALSE) / VLOOKUP("transport|PM25|Non-fatal heart attacks", US_national_yearly!$D:$AM, 10, FALSE), 1)</f>
        <v>3.6110918286690373E-3</v>
      </c>
      <c r="O13" s="7">
        <f>$B13 * IFERROR(VLOOKUP("transport|PM25|Non-fatal heart attacks", US_national_yearly!$D:$AM, 23, FALSE) / VLOOKUP("transport|PM25|Non-fatal heart attacks", US_national_yearly!$D:$AM, 10, FALSE), 1)</f>
        <v>3.6507008015494637E-3</v>
      </c>
      <c r="P13" s="7">
        <f>$B13 * IFERROR(VLOOKUP("transport|PM25|Non-fatal heart attacks", US_national_yearly!$D:$AM, 24, FALSE) / VLOOKUP("transport|PM25|Non-fatal heart attacks", US_national_yearly!$D:$AM, 10, FALSE), 1)</f>
        <v>3.6903097744298901E-3</v>
      </c>
      <c r="Q13" s="7">
        <f>$B13 * IFERROR(VLOOKUP("transport|PM25|Non-fatal heart attacks", US_national_yearly!$D:$AM, 25, FALSE) / VLOOKUP("transport|PM25|Non-fatal heart attacks", US_national_yearly!$D:$AM, 10, FALSE), 1)</f>
        <v>3.7299187473103157E-3</v>
      </c>
      <c r="R13" s="7">
        <f>$B13 * IFERROR(VLOOKUP("transport|PM25|Non-fatal heart attacks", US_national_yearly!$D:$AM, 26, FALSE) / VLOOKUP("transport|PM25|Non-fatal heart attacks", US_national_yearly!$D:$AM, 10, FALSE), 1)</f>
        <v>3.7695277201907421E-3</v>
      </c>
      <c r="S13" s="7">
        <f>$B13 * IFERROR(VLOOKUP("transport|PM25|Non-fatal heart attacks", US_national_yearly!$D:$AM, 27, FALSE) / VLOOKUP("transport|PM25|Non-fatal heart attacks", US_national_yearly!$D:$AM, 10, FALSE), 1)</f>
        <v>3.7903869369292935E-3</v>
      </c>
      <c r="T13" s="7">
        <f>$B13 * IFERROR(VLOOKUP("transport|PM25|Non-fatal heart attacks", US_national_yearly!$D:$AM, 28, FALSE) / VLOOKUP("transport|PM25|Non-fatal heart attacks", US_national_yearly!$D:$AM, 10, FALSE), 1)</f>
        <v>3.8112461536678457E-3</v>
      </c>
      <c r="U13" s="7">
        <f>$B13 * IFERROR(VLOOKUP("transport|PM25|Non-fatal heart attacks", US_national_yearly!$D:$AM, 29, FALSE) / VLOOKUP("transport|PM25|Non-fatal heart attacks", US_national_yearly!$D:$AM, 10, FALSE), 1)</f>
        <v>3.832105370406398E-3</v>
      </c>
      <c r="V13" s="7">
        <f>$B13 * IFERROR(VLOOKUP("transport|PM25|Non-fatal heart attacks", US_national_yearly!$D:$AM, 30, FALSE) / VLOOKUP("transport|PM25|Non-fatal heart attacks", US_national_yearly!$D:$AM, 10, FALSE), 1)</f>
        <v>3.8529645871449498E-3</v>
      </c>
      <c r="W13" s="7">
        <f>$B13 * IFERROR(VLOOKUP("transport|PM25|Non-fatal heart attacks", US_national_yearly!$D:$AM, 31, FALSE) / VLOOKUP("transport|PM25|Non-fatal heart attacks", US_national_yearly!$D:$AM, 10, FALSE), 1)</f>
        <v>3.8738238038835016E-3</v>
      </c>
      <c r="X13" s="7">
        <f>$B13 * IFERROR(VLOOKUP("transport|PM25|Non-fatal heart attacks", US_national_yearly!$D:$AM, 32, FALSE) / VLOOKUP("transport|PM25|Non-fatal heart attacks", US_national_yearly!$D:$AM, 10, FALSE), 1)</f>
        <v>3.8896589655688144E-3</v>
      </c>
      <c r="Y13" s="7">
        <f>$B13 * IFERROR(VLOOKUP("transport|PM25|Non-fatal heart attacks", US_national_yearly!$D:$AM, 33, FALSE) / VLOOKUP("transport|PM25|Non-fatal heart attacks", US_national_yearly!$D:$AM, 10, FALSE), 1)</f>
        <v>3.9054941272541276E-3</v>
      </c>
      <c r="Z13" s="7">
        <f>$B13 * IFERROR(VLOOKUP("transport|PM25|Non-fatal heart attacks", US_national_yearly!$D:$AM, 34, FALSE) / VLOOKUP("transport|PM25|Non-fatal heart attacks", US_national_yearly!$D:$AM, 10, FALSE), 1)</f>
        <v>3.9213292889394404E-3</v>
      </c>
      <c r="AA13" s="7">
        <f>$B13 * IFERROR(VLOOKUP("transport|PM25|Non-fatal heart attacks", US_national_yearly!$D:$AM, 35, FALSE) / VLOOKUP("transport|PM25|Non-fatal heart attacks", US_national_yearly!$D:$AM, 10, FALSE), 1)</f>
        <v>3.9371644506247536E-3</v>
      </c>
      <c r="AB13" s="7">
        <f>$B13 * IFERROR(VLOOKUP("transport|PM25|Non-fatal heart attacks", US_national_yearly!$D:$AM, 36, FALSE) / VLOOKUP("transport|PM25|Non-fatal heart attacks", US_national_yearly!$D:$AM, 10, FALSE), 1)</f>
        <v>3.9529996123100659E-3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1.9192879452028637</v>
      </c>
      <c r="C14" s="7">
        <f>$B14 * IFERROR(VLOOKUP("transport|PM25|Minor restricted activity days", US_national_yearly!$D:$AM, 11, FALSE) / VLOOKUP("transport|PM25|Minor restricted activity days", US_national_yearly!$D:$AM, 10, FALSE), 1)</f>
        <v>1.9239750739751029</v>
      </c>
      <c r="D14" s="7">
        <f>$B14 * IFERROR(VLOOKUP("transport|PM25|Minor restricted activity days", US_national_yearly!$D:$AM, 12, FALSE) / VLOOKUP("transport|PM25|Minor restricted activity days", US_national_yearly!$D:$AM, 10, FALSE), 1)</f>
        <v>1.9286622027473421</v>
      </c>
      <c r="E14" s="7">
        <f>$B14 * IFERROR(VLOOKUP("transport|PM25|Minor restricted activity days", US_national_yearly!$D:$AM, 13, FALSE) / VLOOKUP("transport|PM25|Minor restricted activity days", US_national_yearly!$D:$AM, 10, FALSE), 1)</f>
        <v>1.9333493315195815</v>
      </c>
      <c r="F14" s="7">
        <f>$B14 * IFERROR(VLOOKUP("transport|PM25|Minor restricted activity days", US_national_yearly!$D:$AM, 14, FALSE) / VLOOKUP("transport|PM25|Minor restricted activity days", US_national_yearly!$D:$AM, 10, FALSE), 1)</f>
        <v>1.9380364602918203</v>
      </c>
      <c r="G14" s="7">
        <f>$B14 * IFERROR(VLOOKUP("transport|PM25|Minor restricted activity days", US_national_yearly!$D:$AM, 15, FALSE) / VLOOKUP("transport|PM25|Minor restricted activity days", US_national_yearly!$D:$AM, 10, FALSE), 1)</f>
        <v>1.9449521785216508</v>
      </c>
      <c r="H14" s="7">
        <f>$B14 * IFERROR(VLOOKUP("transport|PM25|Minor restricted activity days", US_national_yearly!$D:$AM, 16, FALSE) / VLOOKUP("transport|PM25|Minor restricted activity days", US_national_yearly!$D:$AM, 10, FALSE), 1)</f>
        <v>1.9518678967514813</v>
      </c>
      <c r="I14" s="7">
        <f>$B14 * IFERROR(VLOOKUP("transport|PM25|Minor restricted activity days", US_national_yearly!$D:$AM, 17, FALSE) / VLOOKUP("transport|PM25|Minor restricted activity days", US_national_yearly!$D:$AM, 10, FALSE), 1)</f>
        <v>1.963690608015388</v>
      </c>
      <c r="J14" s="7">
        <f>$B14 * IFERROR(VLOOKUP("transport|PM25|Minor restricted activity days", US_national_yearly!$D:$AM, 18, FALSE) / VLOOKUP("transport|PM25|Minor restricted activity days", US_national_yearly!$D:$AM, 10, FALSE), 1)</f>
        <v>1.9755133192792935</v>
      </c>
      <c r="K14" s="7">
        <f>$B14 * IFERROR(VLOOKUP("transport|PM25|Minor restricted activity days", US_national_yearly!$D:$AM, 19, FALSE) / VLOOKUP("transport|PM25|Minor restricted activity days", US_national_yearly!$D:$AM, 10, FALSE), 1)</f>
        <v>1.9873360305432002</v>
      </c>
      <c r="L14" s="7">
        <f>$B14 * IFERROR(VLOOKUP("transport|PM25|Minor restricted activity days", US_national_yearly!$D:$AM, 20, FALSE) / VLOOKUP("transport|PM25|Minor restricted activity days", US_national_yearly!$D:$AM, 10, FALSE), 1)</f>
        <v>1.9991587418071062</v>
      </c>
      <c r="M14" s="7">
        <f>$B14 * IFERROR(VLOOKUP("transport|PM25|Minor restricted activity days", US_national_yearly!$D:$AM, 21, FALSE) / VLOOKUP("transport|PM25|Minor restricted activity days", US_national_yearly!$D:$AM, 10, FALSE), 1)</f>
        <v>2.0109814530710124</v>
      </c>
      <c r="N14" s="7">
        <f>$B14 * IFERROR(VLOOKUP("transport|PM25|Minor restricted activity days", US_national_yearly!$D:$AM, 22, FALSE) / VLOOKUP("transport|PM25|Minor restricted activity days", US_national_yearly!$D:$AM, 10, FALSE), 1)</f>
        <v>2.0270863397100789</v>
      </c>
      <c r="O14" s="7">
        <f>$B14 * IFERROR(VLOOKUP("transport|PM25|Minor restricted activity days", US_national_yearly!$D:$AM, 23, FALSE) / VLOOKUP("transport|PM25|Minor restricted activity days", US_national_yearly!$D:$AM, 10, FALSE), 1)</f>
        <v>2.0431912263491454</v>
      </c>
      <c r="P14" s="7">
        <f>$B14 * IFERROR(VLOOKUP("transport|PM25|Minor restricted activity days", US_national_yearly!$D:$AM, 24, FALSE) / VLOOKUP("transport|PM25|Minor restricted activity days", US_national_yearly!$D:$AM, 10, FALSE), 1)</f>
        <v>2.0592961129882119</v>
      </c>
      <c r="Q14" s="7">
        <f>$B14 * IFERROR(VLOOKUP("transport|PM25|Minor restricted activity days", US_national_yearly!$D:$AM, 25, FALSE) / VLOOKUP("transport|PM25|Minor restricted activity days", US_national_yearly!$D:$AM, 10, FALSE), 1)</f>
        <v>2.075400999627278</v>
      </c>
      <c r="R14" s="7">
        <f>$B14 * IFERROR(VLOOKUP("transport|PM25|Minor restricted activity days", US_national_yearly!$D:$AM, 26, FALSE) / VLOOKUP("transport|PM25|Minor restricted activity days", US_national_yearly!$D:$AM, 10, FALSE), 1)</f>
        <v>2.0915058862663445</v>
      </c>
      <c r="S14" s="7">
        <f>$B14 * IFERROR(VLOOKUP("transport|PM25|Minor restricted activity days", US_national_yearly!$D:$AM, 27, FALSE) / VLOOKUP("transport|PM25|Minor restricted activity days", US_national_yearly!$D:$AM, 10, FALSE), 1)</f>
        <v>2.1077216819824547</v>
      </c>
      <c r="T14" s="7">
        <f>$B14 * IFERROR(VLOOKUP("transport|PM25|Minor restricted activity days", US_national_yearly!$D:$AM, 28, FALSE) / VLOOKUP("transport|PM25|Minor restricted activity days", US_national_yearly!$D:$AM, 10, FALSE), 1)</f>
        <v>2.1239374776985649</v>
      </c>
      <c r="U14" s="7">
        <f>$B14 * IFERROR(VLOOKUP("transport|PM25|Minor restricted activity days", US_national_yearly!$D:$AM, 29, FALSE) / VLOOKUP("transport|PM25|Minor restricted activity days", US_national_yearly!$D:$AM, 10, FALSE), 1)</f>
        <v>2.1401532734146751</v>
      </c>
      <c r="V14" s="7">
        <f>$B14 * IFERROR(VLOOKUP("transport|PM25|Minor restricted activity days", US_national_yearly!$D:$AM, 30, FALSE) / VLOOKUP("transport|PM25|Minor restricted activity days", US_national_yearly!$D:$AM, 10, FALSE), 1)</f>
        <v>2.1563690691307853</v>
      </c>
      <c r="W14" s="7">
        <f>$B14 * IFERROR(VLOOKUP("transport|PM25|Minor restricted activity days", US_national_yearly!$D:$AM, 31, FALSE) / VLOOKUP("transport|PM25|Minor restricted activity days", US_national_yearly!$D:$AM, 10, FALSE), 1)</f>
        <v>2.1725848648468955</v>
      </c>
      <c r="X14" s="7">
        <f>$B14 * IFERROR(VLOOKUP("transport|PM25|Minor restricted activity days", US_national_yearly!$D:$AM, 32, FALSE) / VLOOKUP("transport|PM25|Minor restricted activity days", US_national_yearly!$D:$AM, 10, FALSE), 1)</f>
        <v>2.1866618068685661</v>
      </c>
      <c r="Y14" s="7">
        <f>$B14 * IFERROR(VLOOKUP("transport|PM25|Minor restricted activity days", US_national_yearly!$D:$AM, 33, FALSE) / VLOOKUP("transport|PM25|Minor restricted activity days", US_national_yearly!$D:$AM, 10, FALSE), 1)</f>
        <v>2.2007387488902368</v>
      </c>
      <c r="Z14" s="7">
        <f>$B14 * IFERROR(VLOOKUP("transport|PM25|Minor restricted activity days", US_national_yearly!$D:$AM, 34, FALSE) / VLOOKUP("transport|PM25|Minor restricted activity days", US_national_yearly!$D:$AM, 10, FALSE), 1)</f>
        <v>2.2148156909119079</v>
      </c>
      <c r="AA14" s="7">
        <f>$B14 * IFERROR(VLOOKUP("transport|PM25|Minor restricted activity days", US_national_yearly!$D:$AM, 35, FALSE) / VLOOKUP("transport|PM25|Minor restricted activity days", US_national_yearly!$D:$AM, 10, FALSE), 1)</f>
        <v>2.2288926329335781</v>
      </c>
      <c r="AB14" s="7">
        <f>$B14 * IFERROR(VLOOKUP("transport|PM25|Minor restricted activity days", US_national_yearly!$D:$AM, 36, FALSE) / VLOOKUP("transport|PM25|Minor restricted activity days", US_national_yearly!$D:$AM, 10, FALSE), 1)</f>
        <v>2.2429695749552487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0.32418154378556835</v>
      </c>
      <c r="C15" s="7">
        <f>$B15 * IFERROR(VLOOKUP("transport|PM25|Work loss days", US_national_yearly!$D:$AM, 11, FALSE) / VLOOKUP("transport|PM25|Work loss days", US_national_yearly!$D:$AM, 10, FALSE), 1)</f>
        <v>0.32518638981057918</v>
      </c>
      <c r="D15" s="7">
        <f>$B15 * IFERROR(VLOOKUP("transport|PM25|Work loss days", US_national_yearly!$D:$AM, 12, FALSE) / VLOOKUP("transport|PM25|Work loss days", US_national_yearly!$D:$AM, 10, FALSE), 1)</f>
        <v>0.32619123583559007</v>
      </c>
      <c r="E15" s="7">
        <f>$B15 * IFERROR(VLOOKUP("transport|PM25|Work loss days", US_national_yearly!$D:$AM, 13, FALSE) / VLOOKUP("transport|PM25|Work loss days", US_national_yearly!$D:$AM, 10, FALSE), 1)</f>
        <v>0.32719608186060084</v>
      </c>
      <c r="F15" s="7">
        <f>$B15 * IFERROR(VLOOKUP("transport|PM25|Work loss days", US_national_yearly!$D:$AM, 14, FALSE) / VLOOKUP("transport|PM25|Work loss days", US_national_yearly!$D:$AM, 10, FALSE), 1)</f>
        <v>0.32820092788561167</v>
      </c>
      <c r="G15" s="7">
        <f>$B15 * IFERROR(VLOOKUP("transport|PM25|Work loss days", US_national_yearly!$D:$AM, 15, FALSE) / VLOOKUP("transport|PM25|Work loss days", US_national_yearly!$D:$AM, 10, FALSE), 1)</f>
        <v>0.32951834514458944</v>
      </c>
      <c r="H15" s="7">
        <f>$B15 * IFERROR(VLOOKUP("transport|PM25|Work loss days", US_national_yearly!$D:$AM, 16, FALSE) / VLOOKUP("transport|PM25|Work loss days", US_national_yearly!$D:$AM, 10, FALSE), 1)</f>
        <v>0.33083576240356732</v>
      </c>
      <c r="I15" s="7">
        <f>$B15 * IFERROR(VLOOKUP("transport|PM25|Work loss days", US_national_yearly!$D:$AM, 17, FALSE) / VLOOKUP("transport|PM25|Work loss days", US_national_yearly!$D:$AM, 10, FALSE), 1)</f>
        <v>0.33277580421342801</v>
      </c>
      <c r="J15" s="7">
        <f>$B15 * IFERROR(VLOOKUP("transport|PM25|Work loss days", US_national_yearly!$D:$AM, 18, FALSE) / VLOOKUP("transport|PM25|Work loss days", US_national_yearly!$D:$AM, 10, FALSE), 1)</f>
        <v>0.33471584602328869</v>
      </c>
      <c r="K15" s="7">
        <f>$B15 * IFERROR(VLOOKUP("transport|PM25|Work loss days", US_national_yearly!$D:$AM, 19, FALSE) / VLOOKUP("transport|PM25|Work loss days", US_national_yearly!$D:$AM, 10, FALSE), 1)</f>
        <v>0.33665588783314937</v>
      </c>
      <c r="L15" s="7">
        <f>$B15 * IFERROR(VLOOKUP("transport|PM25|Work loss days", US_national_yearly!$D:$AM, 20, FALSE) / VLOOKUP("transport|PM25|Work loss days", US_national_yearly!$D:$AM, 10, FALSE), 1)</f>
        <v>0.33859592964301011</v>
      </c>
      <c r="M15" s="7">
        <f>$B15 * IFERROR(VLOOKUP("transport|PM25|Work loss days", US_national_yearly!$D:$AM, 21, FALSE) / VLOOKUP("transport|PM25|Work loss days", US_national_yearly!$D:$AM, 10, FALSE), 1)</f>
        <v>0.34053597145287079</v>
      </c>
      <c r="N15" s="7">
        <f>$B15 * IFERROR(VLOOKUP("transport|PM25|Work loss days", US_national_yearly!$D:$AM, 22, FALSE) / VLOOKUP("transport|PM25|Work loss days", US_national_yearly!$D:$AM, 10, FALSE), 1)</f>
        <v>0.34297766091001908</v>
      </c>
      <c r="O15" s="7">
        <f>$B15 * IFERROR(VLOOKUP("transport|PM25|Work loss days", US_national_yearly!$D:$AM, 23, FALSE) / VLOOKUP("transport|PM25|Work loss days", US_national_yearly!$D:$AM, 10, FALSE), 1)</f>
        <v>0.34541935036716731</v>
      </c>
      <c r="P15" s="7">
        <f>$B15 * IFERROR(VLOOKUP("transport|PM25|Work loss days", US_national_yearly!$D:$AM, 24, FALSE) / VLOOKUP("transport|PM25|Work loss days", US_national_yearly!$D:$AM, 10, FALSE), 1)</f>
        <v>0.34786103982431565</v>
      </c>
      <c r="Q15" s="7">
        <f>$B15 * IFERROR(VLOOKUP("transport|PM25|Work loss days", US_national_yearly!$D:$AM, 25, FALSE) / VLOOKUP("transport|PM25|Work loss days", US_national_yearly!$D:$AM, 10, FALSE), 1)</f>
        <v>0.35030272928146389</v>
      </c>
      <c r="R15" s="7">
        <f>$B15 * IFERROR(VLOOKUP("transport|PM25|Work loss days", US_national_yearly!$D:$AM, 26, FALSE) / VLOOKUP("transport|PM25|Work loss days", US_national_yearly!$D:$AM, 10, FALSE), 1)</f>
        <v>0.35274441873861223</v>
      </c>
      <c r="S15" s="7">
        <f>$B15 * IFERROR(VLOOKUP("transport|PM25|Work loss days", US_national_yearly!$D:$AM, 27, FALSE) / VLOOKUP("transport|PM25|Work loss days", US_national_yearly!$D:$AM, 10, FALSE), 1)</f>
        <v>0.35544503152237256</v>
      </c>
      <c r="T15" s="7">
        <f>$B15 * IFERROR(VLOOKUP("transport|PM25|Work loss days", US_national_yearly!$D:$AM, 28, FALSE) / VLOOKUP("transport|PM25|Work loss days", US_national_yearly!$D:$AM, 10, FALSE), 1)</f>
        <v>0.35814564430613294</v>
      </c>
      <c r="U15" s="7">
        <f>$B15 * IFERROR(VLOOKUP("transport|PM25|Work loss days", US_national_yearly!$D:$AM, 29, FALSE) / VLOOKUP("transport|PM25|Work loss days", US_national_yearly!$D:$AM, 10, FALSE), 1)</f>
        <v>0.36084625708989315</v>
      </c>
      <c r="V15" s="7">
        <f>$B15 * IFERROR(VLOOKUP("transport|PM25|Work loss days", US_national_yearly!$D:$AM, 30, FALSE) / VLOOKUP("transport|PM25|Work loss days", US_national_yearly!$D:$AM, 10, FALSE), 1)</f>
        <v>0.36354686987365353</v>
      </c>
      <c r="W15" s="7">
        <f>$B15 * IFERROR(VLOOKUP("transport|PM25|Work loss days", US_national_yearly!$D:$AM, 31, FALSE) / VLOOKUP("transport|PM25|Work loss days", US_national_yearly!$D:$AM, 10, FALSE), 1)</f>
        <v>0.36624748265741386</v>
      </c>
      <c r="X15" s="7">
        <f>$B15 * IFERROR(VLOOKUP("transport|PM25|Work loss days", US_national_yearly!$D:$AM, 32, FALSE) / VLOOKUP("transport|PM25|Work loss days", US_national_yearly!$D:$AM, 10, FALSE), 1)</f>
        <v>0.36864365456165971</v>
      </c>
      <c r="Y15" s="7">
        <f>$B15 * IFERROR(VLOOKUP("transport|PM25|Work loss days", US_national_yearly!$D:$AM, 33, FALSE) / VLOOKUP("transport|PM25|Work loss days", US_national_yearly!$D:$AM, 10, FALSE), 1)</f>
        <v>0.37103982646590555</v>
      </c>
      <c r="Z15" s="7">
        <f>$B15 * IFERROR(VLOOKUP("transport|PM25|Work loss days", US_national_yearly!$D:$AM, 34, FALSE) / VLOOKUP("transport|PM25|Work loss days", US_national_yearly!$D:$AM, 10, FALSE), 1)</f>
        <v>0.37343599837015146</v>
      </c>
      <c r="AA15" s="7">
        <f>$B15 * IFERROR(VLOOKUP("transport|PM25|Work loss days", US_national_yearly!$D:$AM, 35, FALSE) / VLOOKUP("transport|PM25|Work loss days", US_national_yearly!$D:$AM, 10, FALSE), 1)</f>
        <v>0.37583217027439736</v>
      </c>
      <c r="AB15" s="7">
        <f>$B15 * IFERROR(VLOOKUP("transport|PM25|Work loss days", US_national_yearly!$D:$AM, 36, FALSE) / VLOOKUP("transport|PM25|Work loss days", US_national_yearly!$D:$AM, 10, FALSE), 1)</f>
        <v>0.37822834217864321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7.7630449620354083E-4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7.9950101588031333E-4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8.2269753555708604E-4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8.4589405523385875E-4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8.6909057491063146E-4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8.9130869724204649E-4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9.1352681957346195E-4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9.325289776151032E-4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9.5153113565674444E-4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9.7053329369838558E-4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9.8953545174002705E-4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1.0085376097816682E-3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1.0212067823926309E-3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1.0338759550035936E-3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1.0465451276145564E-3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1.0592143002255191E-3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1.0718834728364816E-3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1.0785866479551761E-3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1.0852898230738703E-3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1.0919929981925644E-3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1.0986961733112585E-3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1.1053993484299528E-3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1.1099120140932229E-3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1.114424679756493E-3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1.1189373454197633E-3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1.1234500110830334E-3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1.1279626767463037E-3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2.6541635171547156E-4</v>
      </c>
      <c r="C2" s="7">
        <f>$B2 * IFERROR(VLOOKUP("transport|NOx|Premature mortality", US_national_yearly!$D:$AM, 11, FALSE) / VLOOKUP("transport|NOx|Premature mortality", US_national_yearly!$D:$AM, 10, FALSE), 1)</f>
        <v>2.6931486930131468E-4</v>
      </c>
      <c r="D2" s="7">
        <f>$B2 * IFERROR(VLOOKUP("transport|NOx|Premature mortality", US_national_yearly!$D:$AM, 12, FALSE) / VLOOKUP("transport|NOx|Premature mortality", US_national_yearly!$D:$AM, 10, FALSE), 1)</f>
        <v>2.7321338688715774E-4</v>
      </c>
      <c r="E2" s="7">
        <f>$B2 * IFERROR(VLOOKUP("transport|NOx|Premature mortality", US_national_yearly!$D:$AM, 13, FALSE) / VLOOKUP("transport|NOx|Premature mortality", US_national_yearly!$D:$AM, 10, FALSE), 1)</f>
        <v>2.7711190447300091E-4</v>
      </c>
      <c r="F2" s="7">
        <f>$B2 * IFERROR(VLOOKUP("transport|NOx|Premature mortality", US_national_yearly!$D:$AM, 14, FALSE) / VLOOKUP("transport|NOx|Premature mortality", US_national_yearly!$D:$AM, 10, FALSE), 1)</f>
        <v>2.8101042205884403E-4</v>
      </c>
      <c r="G2" s="7">
        <f>$B2 * IFERROR(VLOOKUP("transport|NOx|Premature mortality", US_national_yearly!$D:$AM, 15, FALSE) / VLOOKUP("transport|NOx|Premature mortality", US_national_yearly!$D:$AM, 10, FALSE), 1)</f>
        <v>2.8801308134693656E-4</v>
      </c>
      <c r="H2" s="7">
        <f>$B2 * IFERROR(VLOOKUP("transport|NOx|Premature mortality", US_national_yearly!$D:$AM, 16, FALSE) / VLOOKUP("transport|NOx|Premature mortality", US_national_yearly!$D:$AM, 10, FALSE), 1)</f>
        <v>2.950157406350292E-4</v>
      </c>
      <c r="I2" s="7">
        <f>$B2 * IFERROR(VLOOKUP("transport|NOx|Premature mortality", US_national_yearly!$D:$AM, 17, FALSE) / VLOOKUP("transport|NOx|Premature mortality", US_national_yearly!$D:$AM, 10, FALSE), 1)</f>
        <v>2.9953609003638095E-4</v>
      </c>
      <c r="J2" s="7">
        <f>$B2 * IFERROR(VLOOKUP("transport|NOx|Premature mortality", US_national_yearly!$D:$AM, 18, FALSE) / VLOOKUP("transport|NOx|Premature mortality", US_national_yearly!$D:$AM, 10, FALSE), 1)</f>
        <v>3.0405643943773276E-4</v>
      </c>
      <c r="K2" s="7">
        <f>$B2 * IFERROR(VLOOKUP("transport|NOx|Premature mortality", US_national_yearly!$D:$AM, 19, FALSE) / VLOOKUP("transport|NOx|Premature mortality", US_national_yearly!$D:$AM, 10, FALSE), 1)</f>
        <v>3.0857678883908452E-4</v>
      </c>
      <c r="L2" s="7">
        <f>$B2 * IFERROR(VLOOKUP("transport|NOx|Premature mortality", US_national_yearly!$D:$AM, 20, FALSE) / VLOOKUP("transport|NOx|Premature mortality", US_national_yearly!$D:$AM, 10, FALSE), 1)</f>
        <v>3.1309713824043627E-4</v>
      </c>
      <c r="M2" s="7">
        <f>$B2 * IFERROR(VLOOKUP("transport|NOx|Premature mortality", US_national_yearly!$D:$AM, 21, FALSE) / VLOOKUP("transport|NOx|Premature mortality", US_national_yearly!$D:$AM, 10, FALSE), 1)</f>
        <v>3.1761748764178813E-4</v>
      </c>
      <c r="N2" s="7">
        <f>$B2 * IFERROR(VLOOKUP("transport|NOx|Premature mortality", US_national_yearly!$D:$AM, 22, FALSE) / VLOOKUP("transport|NOx|Premature mortality", US_national_yearly!$D:$AM, 10, FALSE), 1)</f>
        <v>3.2096614490525371E-4</v>
      </c>
      <c r="O2" s="7">
        <f>$B2 * IFERROR(VLOOKUP("transport|NOx|Premature mortality", US_national_yearly!$D:$AM, 23, FALSE) / VLOOKUP("transport|NOx|Premature mortality", US_national_yearly!$D:$AM, 10, FALSE), 1)</f>
        <v>3.2431480216871922E-4</v>
      </c>
      <c r="P2" s="7">
        <f>$B2 * IFERROR(VLOOKUP("transport|NOx|Premature mortality", US_national_yearly!$D:$AM, 24, FALSE) / VLOOKUP("transport|NOx|Premature mortality", US_national_yearly!$D:$AM, 10, FALSE), 1)</f>
        <v>3.276634594321848E-4</v>
      </c>
      <c r="Q2" s="7">
        <f>$B2 * IFERROR(VLOOKUP("transport|NOx|Premature mortality", US_national_yearly!$D:$AM, 25, FALSE) / VLOOKUP("transport|NOx|Premature mortality", US_national_yearly!$D:$AM, 10, FALSE), 1)</f>
        <v>3.3101211669565042E-4</v>
      </c>
      <c r="R2" s="7">
        <f>$B2 * IFERROR(VLOOKUP("transport|NOx|Premature mortality", US_national_yearly!$D:$AM, 26, FALSE) / VLOOKUP("transport|NOx|Premature mortality", US_national_yearly!$D:$AM, 10, FALSE), 1)</f>
        <v>3.34360773959116E-4</v>
      </c>
      <c r="S2" s="7">
        <f>$B2 * IFERROR(VLOOKUP("transport|NOx|Premature mortality", US_national_yearly!$D:$AM, 27, FALSE) / VLOOKUP("transport|NOx|Premature mortality", US_national_yearly!$D:$AM, 10, FALSE), 1)</f>
        <v>3.358827724058916E-4</v>
      </c>
      <c r="T2" s="7">
        <f>$B2 * IFERROR(VLOOKUP("transport|NOx|Premature mortality", US_national_yearly!$D:$AM, 28, FALSE) / VLOOKUP("transport|NOx|Premature mortality", US_national_yearly!$D:$AM, 10, FALSE), 1)</f>
        <v>3.3740477085266731E-4</v>
      </c>
      <c r="U2" s="7">
        <f>$B2 * IFERROR(VLOOKUP("transport|NOx|Premature mortality", US_national_yearly!$D:$AM, 29, FALSE) / VLOOKUP("transport|NOx|Premature mortality", US_national_yearly!$D:$AM, 10, FALSE), 1)</f>
        <v>3.3892676929944292E-4</v>
      </c>
      <c r="V2" s="7">
        <f>$B2 * IFERROR(VLOOKUP("transport|NOx|Premature mortality", US_national_yearly!$D:$AM, 30, FALSE) / VLOOKUP("transport|NOx|Premature mortality", US_national_yearly!$D:$AM, 10, FALSE), 1)</f>
        <v>3.4044876774621852E-4</v>
      </c>
      <c r="W2" s="7">
        <f>$B2 * IFERROR(VLOOKUP("transport|NOx|Premature mortality", US_national_yearly!$D:$AM, 31, FALSE) / VLOOKUP("transport|NOx|Premature mortality", US_national_yearly!$D:$AM, 10, FALSE), 1)</f>
        <v>3.4197076619299423E-4</v>
      </c>
      <c r="X2" s="7">
        <f>$B2 * IFERROR(VLOOKUP("transport|NOx|Premature mortality", US_national_yearly!$D:$AM, 32, FALSE) / VLOOKUP("transport|NOx|Premature mortality", US_national_yearly!$D:$AM, 10, FALSE), 1)</f>
        <v>3.4202348734555644E-4</v>
      </c>
      <c r="Y2" s="7">
        <f>$B2 * IFERROR(VLOOKUP("transport|NOx|Premature mortality", US_national_yearly!$D:$AM, 33, FALSE) / VLOOKUP("transport|NOx|Premature mortality", US_national_yearly!$D:$AM, 10, FALSE), 1)</f>
        <v>3.4207620849811864E-4</v>
      </c>
      <c r="Z2" s="7">
        <f>$B2 * IFERROR(VLOOKUP("transport|NOx|Premature mortality", US_national_yearly!$D:$AM, 34, FALSE) / VLOOKUP("transport|NOx|Premature mortality", US_national_yearly!$D:$AM, 10, FALSE), 1)</f>
        <v>3.4212892965068079E-4</v>
      </c>
      <c r="AA2" s="7">
        <f>$B2 * IFERROR(VLOOKUP("transport|NOx|Premature mortality", US_national_yearly!$D:$AM, 35, FALSE) / VLOOKUP("transport|NOx|Premature mortality", US_national_yearly!$D:$AM, 10, FALSE), 1)</f>
        <v>3.4218165080324311E-4</v>
      </c>
      <c r="AB2" s="7">
        <f>$B2 * IFERROR(VLOOKUP("transport|NOx|Premature mortality", US_national_yearly!$D:$AM, 36, FALSE) / VLOOKUP("transport|NOx|Premature mortality", US_national_yearly!$D:$AM, 10, FALSE), 1)</f>
        <v>3.4223437195580531E-4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7.4675803093004895E-7</v>
      </c>
      <c r="C3" s="7">
        <f>$B3 * IFERROR(VLOOKUP("transport|NOx|Infant mortality", US_national_yearly!$D:$AM, 11, FALSE) / VLOOKUP("transport|NOx|Infant mortality", US_national_yearly!$D:$AM, 10, FALSE), 1)</f>
        <v>7.39643257824627E-7</v>
      </c>
      <c r="D3" s="7">
        <f>$B3 * IFERROR(VLOOKUP("transport|NOx|Infant mortality", US_national_yearly!$D:$AM, 12, FALSE) / VLOOKUP("transport|NOx|Infant mortality", US_national_yearly!$D:$AM, 10, FALSE), 1)</f>
        <v>7.3252848471920494E-7</v>
      </c>
      <c r="E3" s="7">
        <f>$B3 * IFERROR(VLOOKUP("transport|NOx|Infant mortality", US_national_yearly!$D:$AM, 13, FALSE) / VLOOKUP("transport|NOx|Infant mortality", US_national_yearly!$D:$AM, 10, FALSE), 1)</f>
        <v>7.2541371161378299E-7</v>
      </c>
      <c r="F3" s="7">
        <f>$B3 * IFERROR(VLOOKUP("transport|NOx|Infant mortality", US_national_yearly!$D:$AM, 14, FALSE) / VLOOKUP("transport|NOx|Infant mortality", US_national_yearly!$D:$AM, 10, FALSE), 1)</f>
        <v>7.1829893850836104E-7</v>
      </c>
      <c r="G3" s="7">
        <f>$B3 * IFERROR(VLOOKUP("transport|NOx|Infant mortality", US_national_yearly!$D:$AM, 15, FALSE) / VLOOKUP("transport|NOx|Infant mortality", US_national_yearly!$D:$AM, 10, FALSE), 1)</f>
        <v>4.7684230568926583E-7</v>
      </c>
      <c r="H3" s="7">
        <f>$B3 * IFERROR(VLOOKUP("transport|NOx|Infant mortality", US_national_yearly!$D:$AM, 16, FALSE) / VLOOKUP("transport|NOx|Infant mortality", US_national_yearly!$D:$AM, 10, FALSE), 1)</f>
        <v>2.3538567287017054E-7</v>
      </c>
      <c r="I3" s="7">
        <f>$B3 * IFERROR(VLOOKUP("transport|NOx|Infant mortality", US_national_yearly!$D:$AM, 17, FALSE) / VLOOKUP("transport|NOx|Infant mortality", US_national_yearly!$D:$AM, 10, FALSE), 1)</f>
        <v>2.3372127141582214E-7</v>
      </c>
      <c r="J3" s="7">
        <f>$B3 * IFERROR(VLOOKUP("transport|NOx|Infant mortality", US_national_yearly!$D:$AM, 18, FALSE) / VLOOKUP("transport|NOx|Infant mortality", US_national_yearly!$D:$AM, 10, FALSE), 1)</f>
        <v>2.3205686996147372E-7</v>
      </c>
      <c r="K3" s="7">
        <f>$B3 * IFERROR(VLOOKUP("transport|NOx|Infant mortality", US_national_yearly!$D:$AM, 19, FALSE) / VLOOKUP("transport|NOx|Infant mortality", US_national_yearly!$D:$AM, 10, FALSE), 1)</f>
        <v>2.3039246850712532E-7</v>
      </c>
      <c r="L3" s="7">
        <f>$B3 * IFERROR(VLOOKUP("transport|NOx|Infant mortality", US_national_yearly!$D:$AM, 20, FALSE) / VLOOKUP("transport|NOx|Infant mortality", US_national_yearly!$D:$AM, 10, FALSE), 1)</f>
        <v>2.2872806705277692E-7</v>
      </c>
      <c r="M3" s="7">
        <f>$B3 * IFERROR(VLOOKUP("transport|NOx|Infant mortality", US_national_yearly!$D:$AM, 21, FALSE) / VLOOKUP("transport|NOx|Infant mortality", US_national_yearly!$D:$AM, 10, FALSE), 1)</f>
        <v>2.2706366559842849E-7</v>
      </c>
      <c r="N3" s="7">
        <f>$B3 * IFERROR(VLOOKUP("transport|NOx|Infant mortality", US_national_yearly!$D:$AM, 22, FALSE) / VLOOKUP("transport|NOx|Infant mortality", US_national_yearly!$D:$AM, 10, FALSE), 1)</f>
        <v>2.2595890550579222E-7</v>
      </c>
      <c r="O3" s="7">
        <f>$B3 * IFERROR(VLOOKUP("transport|NOx|Infant mortality", US_national_yearly!$D:$AM, 23, FALSE) / VLOOKUP("transport|NOx|Infant mortality", US_national_yearly!$D:$AM, 10, FALSE), 1)</f>
        <v>2.2485414541315597E-7</v>
      </c>
      <c r="P3" s="7">
        <f>$B3 * IFERROR(VLOOKUP("transport|NOx|Infant mortality", US_national_yearly!$D:$AM, 24, FALSE) / VLOOKUP("transport|NOx|Infant mortality", US_national_yearly!$D:$AM, 10, FALSE), 1)</f>
        <v>2.2374938532051972E-7</v>
      </c>
      <c r="Q3" s="7">
        <f>$B3 * IFERROR(VLOOKUP("transport|NOx|Infant mortality", US_national_yearly!$D:$AM, 25, FALSE) / VLOOKUP("transport|NOx|Infant mortality", US_national_yearly!$D:$AM, 10, FALSE), 1)</f>
        <v>2.2264462522788348E-7</v>
      </c>
      <c r="R3" s="7">
        <f>$B3 * IFERROR(VLOOKUP("transport|NOx|Infant mortality", US_national_yearly!$D:$AM, 26, FALSE) / VLOOKUP("transport|NOx|Infant mortality", US_national_yearly!$D:$AM, 10, FALSE), 1)</f>
        <v>2.215398651352472E-7</v>
      </c>
      <c r="S3" s="7">
        <f>$B3 * IFERROR(VLOOKUP("transport|NOx|Infant mortality", US_national_yearly!$D:$AM, 27, FALSE) / VLOOKUP("transport|NOx|Infant mortality", US_national_yearly!$D:$AM, 10, FALSE), 1)</f>
        <v>2.2021176782072198E-7</v>
      </c>
      <c r="T3" s="7">
        <f>$B3 * IFERROR(VLOOKUP("transport|NOx|Infant mortality", US_national_yearly!$D:$AM, 28, FALSE) / VLOOKUP("transport|NOx|Infant mortality", US_national_yearly!$D:$AM, 10, FALSE), 1)</f>
        <v>2.1888367050619672E-7</v>
      </c>
      <c r="U3" s="7">
        <f>$B3 * IFERROR(VLOOKUP("transport|NOx|Infant mortality", US_national_yearly!$D:$AM, 29, FALSE) / VLOOKUP("transport|NOx|Infant mortality", US_national_yearly!$D:$AM, 10, FALSE), 1)</f>
        <v>2.1755557319167149E-7</v>
      </c>
      <c r="V3" s="7">
        <f>$B3 * IFERROR(VLOOKUP("transport|NOx|Infant mortality", US_national_yearly!$D:$AM, 30, FALSE) / VLOOKUP("transport|NOx|Infant mortality", US_national_yearly!$D:$AM, 10, FALSE), 1)</f>
        <v>2.1622747587714624E-7</v>
      </c>
      <c r="W3" s="7">
        <f>$B3 * IFERROR(VLOOKUP("transport|NOx|Infant mortality", US_national_yearly!$D:$AM, 31, FALSE) / VLOOKUP("transport|NOx|Infant mortality", US_national_yearly!$D:$AM, 10, FALSE), 1)</f>
        <v>2.1489937856262101E-7</v>
      </c>
      <c r="X3" s="7">
        <f>$B3 * IFERROR(VLOOKUP("transport|NOx|Infant mortality", US_national_yearly!$D:$AM, 32, FALSE) / VLOOKUP("transport|NOx|Infant mortality", US_national_yearly!$D:$AM, 10, FALSE), 1)</f>
        <v>2.1349285928237393E-7</v>
      </c>
      <c r="Y3" s="7">
        <f>$B3 * IFERROR(VLOOKUP("transport|NOx|Infant mortality", US_national_yearly!$D:$AM, 33, FALSE) / VLOOKUP("transport|NOx|Infant mortality", US_national_yearly!$D:$AM, 10, FALSE), 1)</f>
        <v>2.1208634000212682E-7</v>
      </c>
      <c r="Z3" s="7">
        <f>$B3 * IFERROR(VLOOKUP("transport|NOx|Infant mortality", US_national_yearly!$D:$AM, 34, FALSE) / VLOOKUP("transport|NOx|Infant mortality", US_national_yearly!$D:$AM, 10, FALSE), 1)</f>
        <v>2.1067982072187971E-7</v>
      </c>
      <c r="AA3" s="7">
        <f>$B3 * IFERROR(VLOOKUP("transport|NOx|Infant mortality", US_national_yearly!$D:$AM, 35, FALSE) / VLOOKUP("transport|NOx|Infant mortality", US_national_yearly!$D:$AM, 10, FALSE), 1)</f>
        <v>2.0927330144163261E-7</v>
      </c>
      <c r="AB3" s="7">
        <f>$B3 * IFERROR(VLOOKUP("transport|NOx|Infant mortality", US_national_yearly!$D:$AM, 36, FALSE) / VLOOKUP("transport|NOx|Infant mortality", US_national_yearly!$D:$AM, 10, FALSE), 1)</f>
        <v>2.078667821613855E-7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6.0831181682607981E-4</v>
      </c>
      <c r="C6" s="7">
        <f>$B6 * IFERROR(VLOOKUP("transport|NOx|Asthma symptoms cough", US_national_yearly!$D:$AM, 11, FALSE) / VLOOKUP("transport|NOx|Asthma symptoms cough", US_national_yearly!$D:$AM, 10, FALSE), 1)</f>
        <v>6.1662843391254395E-4</v>
      </c>
      <c r="D6" s="7">
        <f>$B6 * IFERROR(VLOOKUP("transport|NOx|Asthma symptoms cough", US_national_yearly!$D:$AM, 12, FALSE) / VLOOKUP("transport|NOx|Asthma symptoms cough", US_national_yearly!$D:$AM, 10, FALSE), 1)</f>
        <v>6.2494505099900798E-4</v>
      </c>
      <c r="E6" s="7">
        <f>$B6 * IFERROR(VLOOKUP("transport|NOx|Asthma symptoms cough", US_national_yearly!$D:$AM, 13, FALSE) / VLOOKUP("transport|NOx|Asthma symptoms cough", US_national_yearly!$D:$AM, 10, FALSE), 1)</f>
        <v>6.3326166808547212E-4</v>
      </c>
      <c r="F6" s="7">
        <f>$B6 * IFERROR(VLOOKUP("transport|NOx|Asthma symptoms cough", US_national_yearly!$D:$AM, 14, FALSE) / VLOOKUP("transport|NOx|Asthma symptoms cough", US_national_yearly!$D:$AM, 10, FALSE), 1)</f>
        <v>6.4157828517193616E-4</v>
      </c>
      <c r="G6" s="7">
        <f>$B6 * IFERROR(VLOOKUP("transport|NOx|Asthma symptoms cough", US_national_yearly!$D:$AM, 15, FALSE) / VLOOKUP("transport|NOx|Asthma symptoms cough", US_national_yearly!$D:$AM, 10, FALSE), 1)</f>
        <v>6.4821794174675553E-4</v>
      </c>
      <c r="H6" s="7">
        <f>$B6 * IFERROR(VLOOKUP("transport|NOx|Asthma symptoms cough", US_national_yearly!$D:$AM, 16, FALSE) / VLOOKUP("transport|NOx|Asthma symptoms cough", US_national_yearly!$D:$AM, 10, FALSE), 1)</f>
        <v>6.5485759832157513E-4</v>
      </c>
      <c r="I6" s="7">
        <f>$B6 * IFERROR(VLOOKUP("transport|NOx|Asthma symptoms cough", US_national_yearly!$D:$AM, 17, FALSE) / VLOOKUP("transport|NOx|Asthma symptoms cough", US_national_yearly!$D:$AM, 10, FALSE), 1)</f>
        <v>6.5714287319574877E-4</v>
      </c>
      <c r="J6" s="7">
        <f>$B6 * IFERROR(VLOOKUP("transport|NOx|Asthma symptoms cough", US_national_yearly!$D:$AM, 18, FALSE) / VLOOKUP("transport|NOx|Asthma symptoms cough", US_national_yearly!$D:$AM, 10, FALSE), 1)</f>
        <v>6.5942814806992252E-4</v>
      </c>
      <c r="K6" s="7">
        <f>$B6 * IFERROR(VLOOKUP("transport|NOx|Asthma symptoms cough", US_national_yearly!$D:$AM, 19, FALSE) / VLOOKUP("transport|NOx|Asthma symptoms cough", US_national_yearly!$D:$AM, 10, FALSE), 1)</f>
        <v>6.6171342294409617E-4</v>
      </c>
      <c r="L6" s="7">
        <f>$B6 * IFERROR(VLOOKUP("transport|NOx|Asthma symptoms cough", US_national_yearly!$D:$AM, 20, FALSE) / VLOOKUP("transport|NOx|Asthma symptoms cough", US_national_yearly!$D:$AM, 10, FALSE), 1)</f>
        <v>6.6399869781826981E-4</v>
      </c>
      <c r="M6" s="7">
        <f>$B6 * IFERROR(VLOOKUP("transport|NOx|Asthma symptoms cough", US_national_yearly!$D:$AM, 21, FALSE) / VLOOKUP("transport|NOx|Asthma symptoms cough", US_national_yearly!$D:$AM, 10, FALSE), 1)</f>
        <v>6.6628397269244356E-4</v>
      </c>
      <c r="N6" s="7">
        <f>$B6 * IFERROR(VLOOKUP("transport|NOx|Asthma symptoms cough", US_national_yearly!$D:$AM, 22, FALSE) / VLOOKUP("transport|NOx|Asthma symptoms cough", US_national_yearly!$D:$AM, 10, FALSE), 1)</f>
        <v>6.6893391908722812E-4</v>
      </c>
      <c r="O6" s="7">
        <f>$B6 * IFERROR(VLOOKUP("transport|NOx|Asthma symptoms cough", US_national_yearly!$D:$AM, 23, FALSE) / VLOOKUP("transport|NOx|Asthma symptoms cough", US_national_yearly!$D:$AM, 10, FALSE), 1)</f>
        <v>6.7158386548201278E-4</v>
      </c>
      <c r="P6" s="7">
        <f>$B6 * IFERROR(VLOOKUP("transport|NOx|Asthma symptoms cough", US_national_yearly!$D:$AM, 24, FALSE) / VLOOKUP("transport|NOx|Asthma symptoms cough", US_national_yearly!$D:$AM, 10, FALSE), 1)</f>
        <v>6.7423381187679734E-4</v>
      </c>
      <c r="Q6" s="7">
        <f>$B6 * IFERROR(VLOOKUP("transport|NOx|Asthma symptoms cough", US_national_yearly!$D:$AM, 25, FALSE) / VLOOKUP("transport|NOx|Asthma symptoms cough", US_national_yearly!$D:$AM, 10, FALSE), 1)</f>
        <v>6.76883758271582E-4</v>
      </c>
      <c r="R6" s="7">
        <f>$B6 * IFERROR(VLOOKUP("transport|NOx|Asthma symptoms cough", US_national_yearly!$D:$AM, 26, FALSE) / VLOOKUP("transport|NOx|Asthma symptoms cough", US_national_yearly!$D:$AM, 10, FALSE), 1)</f>
        <v>6.7953370466636667E-4</v>
      </c>
      <c r="S6" s="7">
        <f>$B6 * IFERROR(VLOOKUP("transport|NOx|Asthma symptoms cough", US_national_yearly!$D:$AM, 27, FALSE) / VLOOKUP("transport|NOx|Asthma symptoms cough", US_national_yearly!$D:$AM, 10, FALSE), 1)</f>
        <v>6.8299537865962811E-4</v>
      </c>
      <c r="T6" s="7">
        <f>$B6 * IFERROR(VLOOKUP("transport|NOx|Asthma symptoms cough", US_national_yearly!$D:$AM, 28, FALSE) / VLOOKUP("transport|NOx|Asthma symptoms cough", US_national_yearly!$D:$AM, 10, FALSE), 1)</f>
        <v>6.8645705265288934E-4</v>
      </c>
      <c r="U6" s="7">
        <f>$B6 * IFERROR(VLOOKUP("transport|NOx|Asthma symptoms cough", US_national_yearly!$D:$AM, 29, FALSE) / VLOOKUP("transport|NOx|Asthma symptoms cough", US_national_yearly!$D:$AM, 10, FALSE), 1)</f>
        <v>6.8991872664615056E-4</v>
      </c>
      <c r="V6" s="7">
        <f>$B6 * IFERROR(VLOOKUP("transport|NOx|Asthma symptoms cough", US_national_yearly!$D:$AM, 30, FALSE) / VLOOKUP("transport|NOx|Asthma symptoms cough", US_national_yearly!$D:$AM, 10, FALSE), 1)</f>
        <v>6.9338040063941201E-4</v>
      </c>
      <c r="W6" s="7">
        <f>$B6 * IFERROR(VLOOKUP("transport|NOx|Asthma symptoms cough", US_national_yearly!$D:$AM, 31, FALSE) / VLOOKUP("transport|NOx|Asthma symptoms cough", US_national_yearly!$D:$AM, 10, FALSE), 1)</f>
        <v>6.9684207463267323E-4</v>
      </c>
      <c r="X6" s="7">
        <f>$B6 * IFERROR(VLOOKUP("transport|NOx|Asthma symptoms cough", US_national_yearly!$D:$AM, 32, FALSE) / VLOOKUP("transport|NOx|Asthma symptoms cough", US_national_yearly!$D:$AM, 10, FALSE), 1)</f>
        <v>7.0005846716493666E-4</v>
      </c>
      <c r="Y6" s="7">
        <f>$B6 * IFERROR(VLOOKUP("transport|NOx|Asthma symptoms cough", US_national_yearly!$D:$AM, 33, FALSE) / VLOOKUP("transport|NOx|Asthma symptoms cough", US_national_yearly!$D:$AM, 10, FALSE), 1)</f>
        <v>7.0327485969720008E-4</v>
      </c>
      <c r="Z6" s="7">
        <f>$B6 * IFERROR(VLOOKUP("transport|NOx|Asthma symptoms cough", US_national_yearly!$D:$AM, 34, FALSE) / VLOOKUP("transport|NOx|Asthma symptoms cough", US_national_yearly!$D:$AM, 10, FALSE), 1)</f>
        <v>7.0649125222946351E-4</v>
      </c>
      <c r="AA6" s="7">
        <f>$B6 * IFERROR(VLOOKUP("transport|NOx|Asthma symptoms cough", US_national_yearly!$D:$AM, 35, FALSE) / VLOOKUP("transport|NOx|Asthma symptoms cough", US_national_yearly!$D:$AM, 10, FALSE), 1)</f>
        <v>7.0970764476172693E-4</v>
      </c>
      <c r="AB6" s="7">
        <f>$B6 * IFERROR(VLOOKUP("transport|NOx|Asthma symptoms cough", US_national_yearly!$D:$AM, 36, FALSE) / VLOOKUP("transport|NOx|Asthma symptoms cough", US_national_yearly!$D:$AM, 10, FALSE), 1)</f>
        <v>7.1292403729399057E-4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8.1917105331229191E-4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8.3037046089396631E-4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8.415698684756406E-4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8.5276927605731499E-4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8.6396868363898939E-4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8.7290984557371061E-4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8.8185100750843171E-4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8.8492842761041333E-4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8.8800584771239494E-4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8.9108326781437645E-4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8.9416068791635806E-4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8.9723810801833968E-4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9.0080660580573954E-4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9.0437510359313951E-4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9.0794360138053926E-4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9.1151209916793922E-4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9.1508059695533908E-4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9.1974219163687041E-4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9.2440378631840196E-4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9.2906538099993329E-4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9.337269756814644E-4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9.3838857036299573E-4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9.4271986162306929E-4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9.4705115288314286E-4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9.5138244414321664E-4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9.5571373540329031E-4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9.6004502666336387E-4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1.2515869110038198E-3</v>
      </c>
      <c r="C8" s="7">
        <f>$B8 * IFERROR(VLOOKUP("transport|NOx|Asthma symptoms wheeze", US_national_yearly!$D:$AM, 11, FALSE) / VLOOKUP("transport|NOx|Asthma symptoms wheeze", US_national_yearly!$D:$AM, 10, FALSE), 1)</f>
        <v>1.2686981503644364E-3</v>
      </c>
      <c r="D8" s="7">
        <f>$B8 * IFERROR(VLOOKUP("transport|NOx|Asthma symptoms wheeze", US_national_yearly!$D:$AM, 12, FALSE) / VLOOKUP("transport|NOx|Asthma symptoms wheeze", US_national_yearly!$D:$AM, 10, FALSE), 1)</f>
        <v>1.2858093897250536E-3</v>
      </c>
      <c r="E8" s="7">
        <f>$B8 * IFERROR(VLOOKUP("transport|NOx|Asthma symptoms wheeze", US_national_yearly!$D:$AM, 13, FALSE) / VLOOKUP("transport|NOx|Asthma symptoms wheeze", US_national_yearly!$D:$AM, 10, FALSE), 1)</f>
        <v>1.3029206290856702E-3</v>
      </c>
      <c r="F8" s="7">
        <f>$B8 * IFERROR(VLOOKUP("transport|NOx|Asthma symptoms wheeze", US_national_yearly!$D:$AM, 14, FALSE) / VLOOKUP("transport|NOx|Asthma symptoms wheeze", US_national_yearly!$D:$AM, 10, FALSE), 1)</f>
        <v>1.3200318684462868E-3</v>
      </c>
      <c r="G8" s="7">
        <f>$B8 * IFERROR(VLOOKUP("transport|NOx|Asthma symptoms wheeze", US_national_yearly!$D:$AM, 15, FALSE) / VLOOKUP("transport|NOx|Asthma symptoms wheeze", US_national_yearly!$D:$AM, 10, FALSE), 1)</f>
        <v>1.3336928019517598E-3</v>
      </c>
      <c r="H8" s="7">
        <f>$B8 * IFERROR(VLOOKUP("transport|NOx|Asthma symptoms wheeze", US_national_yearly!$D:$AM, 16, FALSE) / VLOOKUP("transport|NOx|Asthma symptoms wheeze", US_national_yearly!$D:$AM, 10, FALSE), 1)</f>
        <v>1.3473537354572328E-3</v>
      </c>
      <c r="I8" s="7">
        <f>$B8 * IFERROR(VLOOKUP("transport|NOx|Asthma symptoms wheeze", US_national_yearly!$D:$AM, 17, FALSE) / VLOOKUP("transport|NOx|Asthma symptoms wheeze", US_national_yearly!$D:$AM, 10, FALSE), 1)</f>
        <v>1.3520556334938739E-3</v>
      </c>
      <c r="J8" s="7">
        <f>$B8 * IFERROR(VLOOKUP("transport|NOx|Asthma symptoms wheeze", US_national_yearly!$D:$AM, 18, FALSE) / VLOOKUP("transport|NOx|Asthma symptoms wheeze", US_national_yearly!$D:$AM, 10, FALSE), 1)</f>
        <v>1.3567575315305155E-3</v>
      </c>
      <c r="K8" s="7">
        <f>$B8 * IFERROR(VLOOKUP("transport|NOx|Asthma symptoms wheeze", US_national_yearly!$D:$AM, 19, FALSE) / VLOOKUP("transport|NOx|Asthma symptoms wheeze", US_national_yearly!$D:$AM, 10, FALSE), 1)</f>
        <v>1.3614594295671563E-3</v>
      </c>
      <c r="L8" s="7">
        <f>$B8 * IFERROR(VLOOKUP("transport|NOx|Asthma symptoms wheeze", US_national_yearly!$D:$AM, 20, FALSE) / VLOOKUP("transport|NOx|Asthma symptoms wheeze", US_national_yearly!$D:$AM, 10, FALSE), 1)</f>
        <v>1.3661613276037977E-3</v>
      </c>
      <c r="M8" s="7">
        <f>$B8 * IFERROR(VLOOKUP("transport|NOx|Asthma symptoms wheeze", US_national_yearly!$D:$AM, 21, FALSE) / VLOOKUP("transport|NOx|Asthma symptoms wheeze", US_national_yearly!$D:$AM, 10, FALSE), 1)</f>
        <v>1.370863225640439E-3</v>
      </c>
      <c r="N8" s="7">
        <f>$B8 * IFERROR(VLOOKUP("transport|NOx|Asthma symptoms wheeze", US_national_yearly!$D:$AM, 22, FALSE) / VLOOKUP("transport|NOx|Asthma symptoms wheeze", US_national_yearly!$D:$AM, 10, FALSE), 1)</f>
        <v>1.3763154265536085E-3</v>
      </c>
      <c r="O8" s="7">
        <f>$B8 * IFERROR(VLOOKUP("transport|NOx|Asthma symptoms wheeze", US_national_yearly!$D:$AM, 23, FALSE) / VLOOKUP("transport|NOx|Asthma symptoms wheeze", US_national_yearly!$D:$AM, 10, FALSE), 1)</f>
        <v>1.3817676274667785E-3</v>
      </c>
      <c r="P8" s="7">
        <f>$B8 * IFERROR(VLOOKUP("transport|NOx|Asthma symptoms wheeze", US_national_yearly!$D:$AM, 24, FALSE) / VLOOKUP("transport|NOx|Asthma symptoms wheeze", US_national_yearly!$D:$AM, 10, FALSE), 1)</f>
        <v>1.3872198283799483E-3</v>
      </c>
      <c r="Q8" s="7">
        <f>$B8 * IFERROR(VLOOKUP("transport|NOx|Asthma symptoms wheeze", US_national_yearly!$D:$AM, 25, FALSE) / VLOOKUP("transport|NOx|Asthma symptoms wheeze", US_national_yearly!$D:$AM, 10, FALSE), 1)</f>
        <v>1.3926720292931182E-3</v>
      </c>
      <c r="R8" s="7">
        <f>$B8 * IFERROR(VLOOKUP("transport|NOx|Asthma symptoms wheeze", US_national_yearly!$D:$AM, 26, FALSE) / VLOOKUP("transport|NOx|Asthma symptoms wheeze", US_national_yearly!$D:$AM, 10, FALSE), 1)</f>
        <v>1.3981242302062878E-3</v>
      </c>
      <c r="S8" s="7">
        <f>$B8 * IFERROR(VLOOKUP("transport|NOx|Asthma symptoms wheeze", US_national_yearly!$D:$AM, 27, FALSE) / VLOOKUP("transport|NOx|Asthma symptoms wheeze", US_national_yearly!$D:$AM, 10, FALSE), 1)</f>
        <v>1.4052465411077918E-3</v>
      </c>
      <c r="T8" s="7">
        <f>$B8 * IFERROR(VLOOKUP("transport|NOx|Asthma symptoms wheeze", US_national_yearly!$D:$AM, 28, FALSE) / VLOOKUP("transport|NOx|Asthma symptoms wheeze", US_national_yearly!$D:$AM, 10, FALSE), 1)</f>
        <v>1.4123688520092956E-3</v>
      </c>
      <c r="U8" s="7">
        <f>$B8 * IFERROR(VLOOKUP("transport|NOx|Asthma symptoms wheeze", US_national_yearly!$D:$AM, 29, FALSE) / VLOOKUP("transport|NOx|Asthma symptoms wheeze", US_national_yearly!$D:$AM, 10, FALSE), 1)</f>
        <v>1.4194911629107996E-3</v>
      </c>
      <c r="V8" s="7">
        <f>$B8 * IFERROR(VLOOKUP("transport|NOx|Asthma symptoms wheeze", US_national_yearly!$D:$AM, 30, FALSE) / VLOOKUP("transport|NOx|Asthma symptoms wheeze", US_national_yearly!$D:$AM, 10, FALSE), 1)</f>
        <v>1.4266134738123038E-3</v>
      </c>
      <c r="W8" s="7">
        <f>$B8 * IFERROR(VLOOKUP("transport|NOx|Asthma symptoms wheeze", US_national_yearly!$D:$AM, 31, FALSE) / VLOOKUP("transport|NOx|Asthma symptoms wheeze", US_national_yearly!$D:$AM, 10, FALSE), 1)</f>
        <v>1.4337357847138074E-3</v>
      </c>
      <c r="X8" s="7">
        <f>$B8 * IFERROR(VLOOKUP("transport|NOx|Asthma symptoms wheeze", US_national_yearly!$D:$AM, 32, FALSE) / VLOOKUP("transport|NOx|Asthma symptoms wheeze", US_national_yearly!$D:$AM, 10, FALSE), 1)</f>
        <v>1.4403534349121988E-3</v>
      </c>
      <c r="Y8" s="7">
        <f>$B8 * IFERROR(VLOOKUP("transport|NOx|Asthma symptoms wheeze", US_national_yearly!$D:$AM, 33, FALSE) / VLOOKUP("transport|NOx|Asthma symptoms wheeze", US_national_yearly!$D:$AM, 10, FALSE), 1)</f>
        <v>1.44697108511059E-3</v>
      </c>
      <c r="Z8" s="7">
        <f>$B8 * IFERROR(VLOOKUP("transport|NOx|Asthma symptoms wheeze", US_national_yearly!$D:$AM, 34, FALSE) / VLOOKUP("transport|NOx|Asthma symptoms wheeze", US_national_yearly!$D:$AM, 10, FALSE), 1)</f>
        <v>1.4535887353089817E-3</v>
      </c>
      <c r="AA8" s="7">
        <f>$B8 * IFERROR(VLOOKUP("transport|NOx|Asthma symptoms wheeze", US_national_yearly!$D:$AM, 35, FALSE) / VLOOKUP("transport|NOx|Asthma symptoms wheeze", US_national_yearly!$D:$AM, 10, FALSE), 1)</f>
        <v>1.4602063855073727E-3</v>
      </c>
      <c r="AB8" s="7">
        <f>$B8 * IFERROR(VLOOKUP("transport|NOx|Asthma symptoms wheeze", US_national_yearly!$D:$AM, 36, FALSE) / VLOOKUP("transport|NOx|Asthma symptoms wheeze", US_national_yearly!$D:$AM, 10, FALSE), 1)</f>
        <v>1.4668240357057643E-3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2.1331659548364863E-5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2.186377064334868E-5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2.2395881738332496E-5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2.2927992833316315E-5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2.3460103928300135E-5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2.3968820246010502E-5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2.447753656372087E-5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2.4909447175606089E-5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2.5341357787491302E-5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2.5773268399376524E-5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2.6205179011261744E-5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2.6637089623146963E-5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2.6925829643552477E-5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2.7214569663958001E-5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2.7503309684363518E-5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2.7792049704769042E-5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2.808078972517456E-5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2.823548880415956E-5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2.8390187883144556E-5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2.8544886962129556E-5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2.8699586041114549E-5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2.8854285120099553E-5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2.8960001842625225E-5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2.9065718565150904E-5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2.9171435287676586E-5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2.9277152010202265E-5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2.9382868732727937E-5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1.0556305887138753E-4</v>
      </c>
      <c r="C13" s="7">
        <f>$B13 * IFERROR(VLOOKUP("transport|NOx|Non-fatal heart attacks", US_national_yearly!$D:$AM, 11, FALSE) / VLOOKUP("transport|NOx|Non-fatal heart attacks", US_national_yearly!$D:$AM, 10, FALSE), 1)</f>
        <v>1.0858101371753158E-4</v>
      </c>
      <c r="D13" s="7">
        <f>$B13 * IFERROR(VLOOKUP("transport|NOx|Non-fatal heart attacks", US_national_yearly!$D:$AM, 12, FALSE) / VLOOKUP("transport|NOx|Non-fatal heart attacks", US_national_yearly!$D:$AM, 10, FALSE), 1)</f>
        <v>1.1159896856367562E-4</v>
      </c>
      <c r="E13" s="7">
        <f>$B13 * IFERROR(VLOOKUP("transport|NOx|Non-fatal heart attacks", US_national_yearly!$D:$AM, 13, FALSE) / VLOOKUP("transport|NOx|Non-fatal heart attacks", US_national_yearly!$D:$AM, 10, FALSE), 1)</f>
        <v>1.1461692340981964E-4</v>
      </c>
      <c r="F13" s="7">
        <f>$B13 * IFERROR(VLOOKUP("transport|NOx|Non-fatal heart attacks", US_national_yearly!$D:$AM, 14, FALSE) / VLOOKUP("transport|NOx|Non-fatal heart attacks", US_national_yearly!$D:$AM, 10, FALSE), 1)</f>
        <v>1.1763487825596369E-4</v>
      </c>
      <c r="G13" s="7">
        <f>$B13 * IFERROR(VLOOKUP("transport|NOx|Non-fatal heart attacks", US_national_yearly!$D:$AM, 15, FALSE) / VLOOKUP("transport|NOx|Non-fatal heart attacks", US_national_yearly!$D:$AM, 10, FALSE), 1)</f>
        <v>1.2045515078732754E-4</v>
      </c>
      <c r="H13" s="7">
        <f>$B13 * IFERROR(VLOOKUP("transport|NOx|Non-fatal heart attacks", US_national_yearly!$D:$AM, 16, FALSE) / VLOOKUP("transport|NOx|Non-fatal heart attacks", US_national_yearly!$D:$AM, 10, FALSE), 1)</f>
        <v>1.2327542331869138E-4</v>
      </c>
      <c r="I13" s="7">
        <f>$B13 * IFERROR(VLOOKUP("transport|NOx|Non-fatal heart attacks", US_national_yearly!$D:$AM, 17, FALSE) / VLOOKUP("transport|NOx|Non-fatal heart attacks", US_national_yearly!$D:$AM, 10, FALSE), 1)</f>
        <v>1.2549888582173943E-4</v>
      </c>
      <c r="J13" s="7">
        <f>$B13 * IFERROR(VLOOKUP("transport|NOx|Non-fatal heart attacks", US_national_yearly!$D:$AM, 18, FALSE) / VLOOKUP("transport|NOx|Non-fatal heart attacks", US_national_yearly!$D:$AM, 10, FALSE), 1)</f>
        <v>1.2772234832478748E-4</v>
      </c>
      <c r="K13" s="7">
        <f>$B13 * IFERROR(VLOOKUP("transport|NOx|Non-fatal heart attacks", US_national_yearly!$D:$AM, 19, FALSE) / VLOOKUP("transport|NOx|Non-fatal heart attacks", US_national_yearly!$D:$AM, 10, FALSE), 1)</f>
        <v>1.2994581082783545E-4</v>
      </c>
      <c r="L13" s="7">
        <f>$B13 * IFERROR(VLOOKUP("transport|NOx|Non-fatal heart attacks", US_national_yearly!$D:$AM, 20, FALSE) / VLOOKUP("transport|NOx|Non-fatal heart attacks", US_national_yearly!$D:$AM, 10, FALSE), 1)</f>
        <v>1.3216927333088355E-4</v>
      </c>
      <c r="M13" s="7">
        <f>$B13 * IFERROR(VLOOKUP("transport|NOx|Non-fatal heart attacks", US_national_yearly!$D:$AM, 21, FALSE) / VLOOKUP("transport|NOx|Non-fatal heart attacks", US_national_yearly!$D:$AM, 10, FALSE), 1)</f>
        <v>1.3439273583393157E-4</v>
      </c>
      <c r="N13" s="7">
        <f>$B13 * IFERROR(VLOOKUP("transport|NOx|Non-fatal heart attacks", US_national_yearly!$D:$AM, 22, FALSE) / VLOOKUP("transport|NOx|Non-fatal heart attacks", US_national_yearly!$D:$AM, 10, FALSE), 1)</f>
        <v>1.357304383057737E-4</v>
      </c>
      <c r="O13" s="7">
        <f>$B13 * IFERROR(VLOOKUP("transport|NOx|Non-fatal heart attacks", US_national_yearly!$D:$AM, 23, FALSE) / VLOOKUP("transport|NOx|Non-fatal heart attacks", US_national_yearly!$D:$AM, 10, FALSE), 1)</f>
        <v>1.3706814077761587E-4</v>
      </c>
      <c r="P13" s="7">
        <f>$B13 * IFERROR(VLOOKUP("transport|NOx|Non-fatal heart attacks", US_national_yearly!$D:$AM, 24, FALSE) / VLOOKUP("transport|NOx|Non-fatal heart attacks", US_national_yearly!$D:$AM, 10, FALSE), 1)</f>
        <v>1.3840584324945797E-4</v>
      </c>
      <c r="Q13" s="7">
        <f>$B13 * IFERROR(VLOOKUP("transport|NOx|Non-fatal heart attacks", US_national_yearly!$D:$AM, 25, FALSE) / VLOOKUP("transport|NOx|Non-fatal heart attacks", US_national_yearly!$D:$AM, 10, FALSE), 1)</f>
        <v>1.3974354572130013E-4</v>
      </c>
      <c r="R13" s="7">
        <f>$B13 * IFERROR(VLOOKUP("transport|NOx|Non-fatal heart attacks", US_national_yearly!$D:$AM, 26, FALSE) / VLOOKUP("transport|NOx|Non-fatal heart attacks", US_national_yearly!$D:$AM, 10, FALSE), 1)</f>
        <v>1.4108124819314229E-4</v>
      </c>
      <c r="S13" s="7">
        <f>$B13 * IFERROR(VLOOKUP("transport|NOx|Non-fatal heart attacks", US_national_yearly!$D:$AM, 27, FALSE) / VLOOKUP("transport|NOx|Non-fatal heart attacks", US_national_yearly!$D:$AM, 10, FALSE), 1)</f>
        <v>1.4168803928641782E-4</v>
      </c>
      <c r="T13" s="7">
        <f>$B13 * IFERROR(VLOOKUP("transport|NOx|Non-fatal heart attacks", US_national_yearly!$D:$AM, 28, FALSE) / VLOOKUP("transport|NOx|Non-fatal heart attacks", US_national_yearly!$D:$AM, 10, FALSE), 1)</f>
        <v>1.4229483037969334E-4</v>
      </c>
      <c r="U13" s="7">
        <f>$B13 * IFERROR(VLOOKUP("transport|NOx|Non-fatal heart attacks", US_national_yearly!$D:$AM, 29, FALSE) / VLOOKUP("transport|NOx|Non-fatal heart attacks", US_national_yearly!$D:$AM, 10, FALSE), 1)</f>
        <v>1.4290162147296889E-4</v>
      </c>
      <c r="V13" s="7">
        <f>$B13 * IFERROR(VLOOKUP("transport|NOx|Non-fatal heart attacks", US_national_yearly!$D:$AM, 30, FALSE) / VLOOKUP("transport|NOx|Non-fatal heart attacks", US_national_yearly!$D:$AM, 10, FALSE), 1)</f>
        <v>1.4350841256624441E-4</v>
      </c>
      <c r="W13" s="7">
        <f>$B13 * IFERROR(VLOOKUP("transport|NOx|Non-fatal heart attacks", US_national_yearly!$D:$AM, 31, FALSE) / VLOOKUP("transport|NOx|Non-fatal heart attacks", US_national_yearly!$D:$AM, 10, FALSE), 1)</f>
        <v>1.4411520365951996E-4</v>
      </c>
      <c r="X13" s="7">
        <f>$B13 * IFERROR(VLOOKUP("transport|NOx|Non-fatal heart attacks", US_national_yearly!$D:$AM, 32, FALSE) / VLOOKUP("transport|NOx|Non-fatal heart attacks", US_national_yearly!$D:$AM, 10, FALSE), 1)</f>
        <v>1.4452069339630815E-4</v>
      </c>
      <c r="Y13" s="7">
        <f>$B13 * IFERROR(VLOOKUP("transport|NOx|Non-fatal heart attacks", US_national_yearly!$D:$AM, 33, FALSE) / VLOOKUP("transport|NOx|Non-fatal heart attacks", US_national_yearly!$D:$AM, 10, FALSE), 1)</f>
        <v>1.4492618313309636E-4</v>
      </c>
      <c r="Z13" s="7">
        <f>$B13 * IFERROR(VLOOKUP("transport|NOx|Non-fatal heart attacks", US_national_yearly!$D:$AM, 34, FALSE) / VLOOKUP("transport|NOx|Non-fatal heart attacks", US_national_yearly!$D:$AM, 10, FALSE), 1)</f>
        <v>1.4533167286988452E-4</v>
      </c>
      <c r="AA13" s="7">
        <f>$B13 * IFERROR(VLOOKUP("transport|NOx|Non-fatal heart attacks", US_national_yearly!$D:$AM, 35, FALSE) / VLOOKUP("transport|NOx|Non-fatal heart attacks", US_national_yearly!$D:$AM, 10, FALSE), 1)</f>
        <v>1.4573716260667271E-4</v>
      </c>
      <c r="AB13" s="7">
        <f>$B13 * IFERROR(VLOOKUP("transport|NOx|Non-fatal heart attacks", US_national_yearly!$D:$AM, 36, FALSE) / VLOOKUP("transport|NOx|Non-fatal heart attacks", US_national_yearly!$D:$AM, 10, FALSE), 1)</f>
        <v>1.4614265234346092E-4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7.1024729843736617E-2</v>
      </c>
      <c r="C14" s="7">
        <f>$B14 * IFERROR(VLOOKUP("transport|NOx|Minor restricted activity days", US_national_yearly!$D:$AM, 11, FALSE) / VLOOKUP("transport|NOx|Minor restricted activity days", US_national_yearly!$D:$AM, 10, FALSE), 1)</f>
        <v>7.1133622673859379E-2</v>
      </c>
      <c r="D14" s="7">
        <f>$B14 * IFERROR(VLOOKUP("transport|NOx|Minor restricted activity days", US_national_yearly!$D:$AM, 12, FALSE) / VLOOKUP("transport|NOx|Minor restricted activity days", US_national_yearly!$D:$AM, 10, FALSE), 1)</f>
        <v>7.1242515503982154E-2</v>
      </c>
      <c r="E14" s="7">
        <f>$B14 * IFERROR(VLOOKUP("transport|NOx|Minor restricted activity days", US_national_yearly!$D:$AM, 13, FALSE) / VLOOKUP("transport|NOx|Minor restricted activity days", US_national_yearly!$D:$AM, 10, FALSE), 1)</f>
        <v>7.1351408334104943E-2</v>
      </c>
      <c r="F14" s="7">
        <f>$B14 * IFERROR(VLOOKUP("transport|NOx|Minor restricted activity days", US_national_yearly!$D:$AM, 14, FALSE) / VLOOKUP("transport|NOx|Minor restricted activity days", US_national_yearly!$D:$AM, 10, FALSE), 1)</f>
        <v>7.1460301164227705E-2</v>
      </c>
      <c r="G14" s="7">
        <f>$B14 * IFERROR(VLOOKUP("transport|NOx|Minor restricted activity days", US_national_yearly!$D:$AM, 15, FALSE) / VLOOKUP("transport|NOx|Minor restricted activity days", US_national_yearly!$D:$AM, 10, FALSE), 1)</f>
        <v>7.1656935696708696E-2</v>
      </c>
      <c r="H14" s="7">
        <f>$B14 * IFERROR(VLOOKUP("transport|NOx|Minor restricted activity days", US_national_yearly!$D:$AM, 16, FALSE) / VLOOKUP("transport|NOx|Minor restricted activity days", US_national_yearly!$D:$AM, 10, FALSE), 1)</f>
        <v>7.1853570229189659E-2</v>
      </c>
      <c r="I14" s="7">
        <f>$B14 * IFERROR(VLOOKUP("transport|NOx|Minor restricted activity days", US_national_yearly!$D:$AM, 17, FALSE) / VLOOKUP("transport|NOx|Minor restricted activity days", US_national_yearly!$D:$AM, 10, FALSE), 1)</f>
        <v>7.223817959898847E-2</v>
      </c>
      <c r="J14" s="7">
        <f>$B14 * IFERROR(VLOOKUP("transport|NOx|Minor restricted activity days", US_national_yearly!$D:$AM, 18, FALSE) / VLOOKUP("transport|NOx|Minor restricted activity days", US_national_yearly!$D:$AM, 10, FALSE), 1)</f>
        <v>7.2622788968787252E-2</v>
      </c>
      <c r="K14" s="7">
        <f>$B14 * IFERROR(VLOOKUP("transport|NOx|Minor restricted activity days", US_national_yearly!$D:$AM, 19, FALSE) / VLOOKUP("transport|NOx|Minor restricted activity days", US_national_yearly!$D:$AM, 10, FALSE), 1)</f>
        <v>7.3007398338586049E-2</v>
      </c>
      <c r="L14" s="7">
        <f>$B14 * IFERROR(VLOOKUP("transport|NOx|Minor restricted activity days", US_national_yearly!$D:$AM, 20, FALSE) / VLOOKUP("transport|NOx|Minor restricted activity days", US_national_yearly!$D:$AM, 10, FALSE), 1)</f>
        <v>7.3392007708384846E-2</v>
      </c>
      <c r="M14" s="7">
        <f>$B14 * IFERROR(VLOOKUP("transport|NOx|Minor restricted activity days", US_national_yearly!$D:$AM, 21, FALSE) / VLOOKUP("transport|NOx|Minor restricted activity days", US_national_yearly!$D:$AM, 10, FALSE), 1)</f>
        <v>7.3776617078183643E-2</v>
      </c>
      <c r="N14" s="7">
        <f>$B14 * IFERROR(VLOOKUP("transport|NOx|Minor restricted activity days", US_national_yearly!$D:$AM, 22, FALSE) / VLOOKUP("transport|NOx|Minor restricted activity days", US_national_yearly!$D:$AM, 10, FALSE), 1)</f>
        <v>7.4327290487449807E-2</v>
      </c>
      <c r="O14" s="7">
        <f>$B14 * IFERROR(VLOOKUP("transport|NOx|Minor restricted activity days", US_national_yearly!$D:$AM, 23, FALSE) / VLOOKUP("transport|NOx|Minor restricted activity days", US_national_yearly!$D:$AM, 10, FALSE), 1)</f>
        <v>7.4877963896715957E-2</v>
      </c>
      <c r="P14" s="7">
        <f>$B14 * IFERROR(VLOOKUP("transport|NOx|Minor restricted activity days", US_national_yearly!$D:$AM, 24, FALSE) / VLOOKUP("transport|NOx|Minor restricted activity days", US_national_yearly!$D:$AM, 10, FALSE), 1)</f>
        <v>7.5428637305982121E-2</v>
      </c>
      <c r="Q14" s="7">
        <f>$B14 * IFERROR(VLOOKUP("transport|NOx|Minor restricted activity days", US_national_yearly!$D:$AM, 25, FALSE) / VLOOKUP("transport|NOx|Minor restricted activity days", US_national_yearly!$D:$AM, 10, FALSE), 1)</f>
        <v>7.5979310715248286E-2</v>
      </c>
      <c r="R14" s="7">
        <f>$B14 * IFERROR(VLOOKUP("transport|NOx|Minor restricted activity days", US_national_yearly!$D:$AM, 26, FALSE) / VLOOKUP("transport|NOx|Minor restricted activity days", US_national_yearly!$D:$AM, 10, FALSE), 1)</f>
        <v>7.652998412451445E-2</v>
      </c>
      <c r="S14" s="7">
        <f>$B14 * IFERROR(VLOOKUP("transport|NOx|Minor restricted activity days", US_national_yearly!$D:$AM, 27, FALSE) / VLOOKUP("transport|NOx|Minor restricted activity days", US_national_yearly!$D:$AM, 10, FALSE), 1)</f>
        <v>7.7080541755874935E-2</v>
      </c>
      <c r="T14" s="7">
        <f>$B14 * IFERROR(VLOOKUP("transport|NOx|Minor restricted activity days", US_national_yearly!$D:$AM, 28, FALSE) / VLOOKUP("transport|NOx|Minor restricted activity days", US_national_yearly!$D:$AM, 10, FALSE), 1)</f>
        <v>7.7631099387235405E-2</v>
      </c>
      <c r="U14" s="7">
        <f>$B14 * IFERROR(VLOOKUP("transport|NOx|Minor restricted activity days", US_national_yearly!$D:$AM, 29, FALSE) / VLOOKUP("transport|NOx|Minor restricted activity days", US_national_yearly!$D:$AM, 10, FALSE), 1)</f>
        <v>7.8181657018595904E-2</v>
      </c>
      <c r="V14" s="7">
        <f>$B14 * IFERROR(VLOOKUP("transport|NOx|Minor restricted activity days", US_national_yearly!$D:$AM, 30, FALSE) / VLOOKUP("transport|NOx|Minor restricted activity days", US_national_yearly!$D:$AM, 10, FALSE), 1)</f>
        <v>7.8732214649956403E-2</v>
      </c>
      <c r="W14" s="7">
        <f>$B14 * IFERROR(VLOOKUP("transport|NOx|Minor restricted activity days", US_national_yearly!$D:$AM, 31, FALSE) / VLOOKUP("transport|NOx|Minor restricted activity days", US_national_yearly!$D:$AM, 10, FALSE), 1)</f>
        <v>7.9282772281316874E-2</v>
      </c>
      <c r="X14" s="7">
        <f>$B14 * IFERROR(VLOOKUP("transport|NOx|Minor restricted activity days", US_national_yearly!$D:$AM, 32, FALSE) / VLOOKUP("transport|NOx|Minor restricted activity days", US_national_yearly!$D:$AM, 10, FALSE), 1)</f>
        <v>7.9748247784682313E-2</v>
      </c>
      <c r="Y14" s="7">
        <f>$B14 * IFERROR(VLOOKUP("transport|NOx|Minor restricted activity days", US_national_yearly!$D:$AM, 33, FALSE) / VLOOKUP("transport|NOx|Minor restricted activity days", US_national_yearly!$D:$AM, 10, FALSE), 1)</f>
        <v>8.0213723288047739E-2</v>
      </c>
      <c r="Z14" s="7">
        <f>$B14 * IFERROR(VLOOKUP("transport|NOx|Minor restricted activity days", US_national_yearly!$D:$AM, 34, FALSE) / VLOOKUP("transport|NOx|Minor restricted activity days", US_national_yearly!$D:$AM, 10, FALSE), 1)</f>
        <v>8.0679198791413179E-2</v>
      </c>
      <c r="AA14" s="7">
        <f>$B14 * IFERROR(VLOOKUP("transport|NOx|Minor restricted activity days", US_national_yearly!$D:$AM, 35, FALSE) / VLOOKUP("transport|NOx|Minor restricted activity days", US_national_yearly!$D:$AM, 10, FALSE), 1)</f>
        <v>8.1144674294778618E-2</v>
      </c>
      <c r="AB14" s="7">
        <f>$B14 * IFERROR(VLOOKUP("transport|NOx|Minor restricted activity days", US_national_yearly!$D:$AM, 36, FALSE) / VLOOKUP("transport|NOx|Minor restricted activity days", US_national_yearly!$D:$AM, 10, FALSE), 1)</f>
        <v>8.1610149798144058E-2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1.1976521915347588E-2</v>
      </c>
      <c r="C15" s="7">
        <f>$B15 * IFERROR(VLOOKUP("transport|NOx|Work loss days", US_national_yearly!$D:$AM, 11, FALSE) / VLOOKUP("transport|NOx|Work loss days", US_national_yearly!$D:$AM, 10, FALSE), 1)</f>
        <v>1.2003163044052099E-2</v>
      </c>
      <c r="D15" s="7">
        <f>$B15 * IFERROR(VLOOKUP("transport|NOx|Work loss days", US_national_yearly!$D:$AM, 12, FALSE) / VLOOKUP("transport|NOx|Work loss days", US_national_yearly!$D:$AM, 10, FALSE), 1)</f>
        <v>1.2029804172756613E-2</v>
      </c>
      <c r="E15" s="7">
        <f>$B15 * IFERROR(VLOOKUP("transport|NOx|Work loss days", US_national_yearly!$D:$AM, 13, FALSE) / VLOOKUP("transport|NOx|Work loss days", US_national_yearly!$D:$AM, 10, FALSE), 1)</f>
        <v>1.2056445301461122E-2</v>
      </c>
      <c r="F15" s="7">
        <f>$B15 * IFERROR(VLOOKUP("transport|NOx|Work loss days", US_national_yearly!$D:$AM, 14, FALSE) / VLOOKUP("transport|NOx|Work loss days", US_national_yearly!$D:$AM, 10, FALSE), 1)</f>
        <v>1.2083086430165636E-2</v>
      </c>
      <c r="G15" s="7">
        <f>$B15 * IFERROR(VLOOKUP("transport|NOx|Work loss days", US_national_yearly!$D:$AM, 15, FALSE) / VLOOKUP("transport|NOx|Work loss days", US_national_yearly!$D:$AM, 10, FALSE), 1)</f>
        <v>1.2121982705334879E-2</v>
      </c>
      <c r="H15" s="7">
        <f>$B15 * IFERROR(VLOOKUP("transport|NOx|Work loss days", US_national_yearly!$D:$AM, 16, FALSE) / VLOOKUP("transport|NOx|Work loss days", US_national_yearly!$D:$AM, 10, FALSE), 1)</f>
        <v>1.2160878980504126E-2</v>
      </c>
      <c r="I15" s="7">
        <f>$B15 * IFERROR(VLOOKUP("transport|NOx|Work loss days", US_national_yearly!$D:$AM, 17, FALSE) / VLOOKUP("transport|NOx|Work loss days", US_national_yearly!$D:$AM, 10, FALSE), 1)</f>
        <v>1.2223888838247342E-2</v>
      </c>
      <c r="J15" s="7">
        <f>$B15 * IFERROR(VLOOKUP("transport|NOx|Work loss days", US_national_yearly!$D:$AM, 18, FALSE) / VLOOKUP("transport|NOx|Work loss days", US_national_yearly!$D:$AM, 10, FALSE), 1)</f>
        <v>1.2286898695990563E-2</v>
      </c>
      <c r="K15" s="7">
        <f>$B15 * IFERROR(VLOOKUP("transport|NOx|Work loss days", US_national_yearly!$D:$AM, 19, FALSE) / VLOOKUP("transport|NOx|Work loss days", US_national_yearly!$D:$AM, 10, FALSE), 1)</f>
        <v>1.2349908553733779E-2</v>
      </c>
      <c r="L15" s="7">
        <f>$B15 * IFERROR(VLOOKUP("transport|NOx|Work loss days", US_national_yearly!$D:$AM, 20, FALSE) / VLOOKUP("transport|NOx|Work loss days", US_national_yearly!$D:$AM, 10, FALSE), 1)</f>
        <v>1.2412918411476997E-2</v>
      </c>
      <c r="M15" s="7">
        <f>$B15 * IFERROR(VLOOKUP("transport|NOx|Work loss days", US_national_yearly!$D:$AM, 21, FALSE) / VLOOKUP("transport|NOx|Work loss days", US_national_yearly!$D:$AM, 10, FALSE), 1)</f>
        <v>1.2475928269220216E-2</v>
      </c>
      <c r="N15" s="7">
        <f>$B15 * IFERROR(VLOOKUP("transport|NOx|Work loss days", US_national_yearly!$D:$AM, 22, FALSE) / VLOOKUP("transport|NOx|Work loss days", US_national_yearly!$D:$AM, 10, FALSE), 1)</f>
        <v>1.2557931732615919E-2</v>
      </c>
      <c r="O15" s="7">
        <f>$B15 * IFERROR(VLOOKUP("transport|NOx|Work loss days", US_national_yearly!$D:$AM, 23, FALSE) / VLOOKUP("transport|NOx|Work loss days", US_national_yearly!$D:$AM, 10, FALSE), 1)</f>
        <v>1.2639935196011622E-2</v>
      </c>
      <c r="P15" s="7">
        <f>$B15 * IFERROR(VLOOKUP("transport|NOx|Work loss days", US_national_yearly!$D:$AM, 24, FALSE) / VLOOKUP("transport|NOx|Work loss days", US_national_yearly!$D:$AM, 10, FALSE), 1)</f>
        <v>1.2721938659407324E-2</v>
      </c>
      <c r="Q15" s="7">
        <f>$B15 * IFERROR(VLOOKUP("transport|NOx|Work loss days", US_national_yearly!$D:$AM, 25, FALSE) / VLOOKUP("transport|NOx|Work loss days", US_national_yearly!$D:$AM, 10, FALSE), 1)</f>
        <v>1.2803942122803023E-2</v>
      </c>
      <c r="R15" s="7">
        <f>$B15 * IFERROR(VLOOKUP("transport|NOx|Work loss days", US_national_yearly!$D:$AM, 26, FALSE) / VLOOKUP("transport|NOx|Work loss days", US_national_yearly!$D:$AM, 10, FALSE), 1)</f>
        <v>1.288594558619873E-2</v>
      </c>
      <c r="S15" s="7">
        <f>$B15 * IFERROR(VLOOKUP("transport|NOx|Work loss days", US_national_yearly!$D:$AM, 27, FALSE) / VLOOKUP("transport|NOx|Work loss days", US_national_yearly!$D:$AM, 10, FALSE), 1)</f>
        <v>1.2977368962757717E-2</v>
      </c>
      <c r="T15" s="7">
        <f>$B15 * IFERROR(VLOOKUP("transport|NOx|Work loss days", US_national_yearly!$D:$AM, 28, FALSE) / VLOOKUP("transport|NOx|Work loss days", US_national_yearly!$D:$AM, 10, FALSE), 1)</f>
        <v>1.3068792339316704E-2</v>
      </c>
      <c r="U15" s="7">
        <f>$B15 * IFERROR(VLOOKUP("transport|NOx|Work loss days", US_national_yearly!$D:$AM, 29, FALSE) / VLOOKUP("transport|NOx|Work loss days", US_national_yearly!$D:$AM, 10, FALSE), 1)</f>
        <v>1.316021571587569E-2</v>
      </c>
      <c r="V15" s="7">
        <f>$B15 * IFERROR(VLOOKUP("transport|NOx|Work loss days", US_national_yearly!$D:$AM, 30, FALSE) / VLOOKUP("transport|NOx|Work loss days", US_national_yearly!$D:$AM, 10, FALSE), 1)</f>
        <v>1.3251639092434677E-2</v>
      </c>
      <c r="W15" s="7">
        <f>$B15 * IFERROR(VLOOKUP("transport|NOx|Work loss days", US_national_yearly!$D:$AM, 31, FALSE) / VLOOKUP("transport|NOx|Work loss days", US_national_yearly!$D:$AM, 10, FALSE), 1)</f>
        <v>1.3343062468993664E-2</v>
      </c>
      <c r="X15" s="7">
        <f>$B15 * IFERROR(VLOOKUP("transport|NOx|Work loss days", US_national_yearly!$D:$AM, 32, FALSE) / VLOOKUP("transport|NOx|Work loss days", US_national_yearly!$D:$AM, 10, FALSE), 1)</f>
        <v>1.3422413085450413E-2</v>
      </c>
      <c r="Y15" s="7">
        <f>$B15 * IFERROR(VLOOKUP("transport|NOx|Work loss days", US_national_yearly!$D:$AM, 33, FALSE) / VLOOKUP("transport|NOx|Work loss days", US_national_yearly!$D:$AM, 10, FALSE), 1)</f>
        <v>1.3501763701907164E-2</v>
      </c>
      <c r="Z15" s="7">
        <f>$B15 * IFERROR(VLOOKUP("transport|NOx|Work loss days", US_national_yearly!$D:$AM, 34, FALSE) / VLOOKUP("transport|NOx|Work loss days", US_national_yearly!$D:$AM, 10, FALSE), 1)</f>
        <v>1.3581114318363915E-2</v>
      </c>
      <c r="AA15" s="7">
        <f>$B15 * IFERROR(VLOOKUP("transport|NOx|Work loss days", US_national_yearly!$D:$AM, 35, FALSE) / VLOOKUP("transport|NOx|Work loss days", US_national_yearly!$D:$AM, 10, FALSE), 1)</f>
        <v>1.3660464934820666E-2</v>
      </c>
      <c r="AB15" s="7">
        <f>$B15 * IFERROR(VLOOKUP("transport|NOx|Work loss days", US_national_yearly!$D:$AM, 36, FALSE) / VLOOKUP("transport|NOx|Work loss days", US_national_yearly!$D:$AM, 10, FALSE), 1)</f>
        <v>1.3739815551277415E-2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2.914723886383237E-5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3.0003719743399216E-5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3.0860200622966054E-5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3.1716681502532893E-5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3.2573162382099732E-5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3.3386677577506644E-5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3.4200192772913563E-5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3.4884296293095778E-5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3.5568399813277994E-5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3.6252503333460202E-5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3.6936606853642418E-5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3.762071037382464E-5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3.8048502972618198E-5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3.8476295571411763E-5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3.8904088170205321E-5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3.9331880768998886E-5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3.9759673367792444E-5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3.9954863383231544E-5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4.0150053398670644E-5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4.0345243414109738E-5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4.0540433429548838E-5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4.0735623444987939E-5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4.0844253455742455E-5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4.0952883466496971E-5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4.1061513477251487E-5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4.1170143488006003E-5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4.1278773498760519E-5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1.3870322667172939E-3</v>
      </c>
      <c r="C2" s="7">
        <f>$B2 * IFERROR(VLOOKUP("transport|SO2|Premature mortality", US_national_yearly!$D:$AM, 11, FALSE) / VLOOKUP("transport|SO2|Premature mortality", US_national_yearly!$D:$AM, 10, FALSE), 1)</f>
        <v>1.4045982799014444E-3</v>
      </c>
      <c r="D2" s="7">
        <f>$B2 * IFERROR(VLOOKUP("transport|SO2|Premature mortality", US_national_yearly!$D:$AM, 12, FALSE) / VLOOKUP("transport|SO2|Premature mortality", US_national_yearly!$D:$AM, 10, FALSE), 1)</f>
        <v>1.4221642930855954E-3</v>
      </c>
      <c r="E2" s="7">
        <f>$B2 * IFERROR(VLOOKUP("transport|SO2|Premature mortality", US_national_yearly!$D:$AM, 13, FALSE) / VLOOKUP("transport|SO2|Premature mortality", US_national_yearly!$D:$AM, 10, FALSE), 1)</f>
        <v>1.4397303062697459E-3</v>
      </c>
      <c r="F2" s="7">
        <f>$B2 * IFERROR(VLOOKUP("transport|SO2|Premature mortality", US_national_yearly!$D:$AM, 14, FALSE) / VLOOKUP("transport|SO2|Premature mortality", US_national_yearly!$D:$AM, 10, FALSE), 1)</f>
        <v>1.4572963194538963E-3</v>
      </c>
      <c r="G2" s="7">
        <f>$B2 * IFERROR(VLOOKUP("transport|SO2|Premature mortality", US_national_yearly!$D:$AM, 15, FALSE) / VLOOKUP("transport|SO2|Premature mortality", US_national_yearly!$D:$AM, 10, FALSE), 1)</f>
        <v>1.4911450313261274E-3</v>
      </c>
      <c r="H2" s="7">
        <f>$B2 * IFERROR(VLOOKUP("transport|SO2|Premature mortality", US_national_yearly!$D:$AM, 16, FALSE) / VLOOKUP("transport|SO2|Premature mortality", US_national_yearly!$D:$AM, 10, FALSE), 1)</f>
        <v>1.5249937431983582E-3</v>
      </c>
      <c r="I2" s="7">
        <f>$B2 * IFERROR(VLOOKUP("transport|SO2|Premature mortality", US_national_yearly!$D:$AM, 17, FALSE) / VLOOKUP("transport|SO2|Premature mortality", US_national_yearly!$D:$AM, 10, FALSE), 1)</f>
        <v>1.5473630460501573E-3</v>
      </c>
      <c r="J2" s="7">
        <f>$B2 * IFERROR(VLOOKUP("transport|SO2|Premature mortality", US_national_yearly!$D:$AM, 18, FALSE) / VLOOKUP("transport|SO2|Premature mortality", US_national_yearly!$D:$AM, 10, FALSE), 1)</f>
        <v>1.5697323489019565E-3</v>
      </c>
      <c r="K2" s="7">
        <f>$B2 * IFERROR(VLOOKUP("transport|SO2|Premature mortality", US_national_yearly!$D:$AM, 19, FALSE) / VLOOKUP("transport|SO2|Premature mortality", US_national_yearly!$D:$AM, 10, FALSE), 1)</f>
        <v>1.5921016517537552E-3</v>
      </c>
      <c r="L2" s="7">
        <f>$B2 * IFERROR(VLOOKUP("transport|SO2|Premature mortality", US_national_yearly!$D:$AM, 20, FALSE) / VLOOKUP("transport|SO2|Premature mortality", US_national_yearly!$D:$AM, 10, FALSE), 1)</f>
        <v>1.6144709546055543E-3</v>
      </c>
      <c r="M2" s="7">
        <f>$B2 * IFERROR(VLOOKUP("transport|SO2|Premature mortality", US_national_yearly!$D:$AM, 21, FALSE) / VLOOKUP("transport|SO2|Premature mortality", US_national_yearly!$D:$AM, 10, FALSE), 1)</f>
        <v>1.6368402574573535E-3</v>
      </c>
      <c r="N2" s="7">
        <f>$B2 * IFERROR(VLOOKUP("transport|SO2|Premature mortality", US_national_yearly!$D:$AM, 22, FALSE) / VLOOKUP("transport|SO2|Premature mortality", US_national_yearly!$D:$AM, 10, FALSE), 1)</f>
        <v>1.6543184173337677E-3</v>
      </c>
      <c r="O2" s="7">
        <f>$B2 * IFERROR(VLOOKUP("transport|SO2|Premature mortality", US_national_yearly!$D:$AM, 23, FALSE) / VLOOKUP("transport|SO2|Premature mortality", US_national_yearly!$D:$AM, 10, FALSE), 1)</f>
        <v>1.6717965772101819E-3</v>
      </c>
      <c r="P2" s="7">
        <f>$B2 * IFERROR(VLOOKUP("transport|SO2|Premature mortality", US_national_yearly!$D:$AM, 24, FALSE) / VLOOKUP("transport|SO2|Premature mortality", US_national_yearly!$D:$AM, 10, FALSE), 1)</f>
        <v>1.6892747370865961E-3</v>
      </c>
      <c r="Q2" s="7">
        <f>$B2 * IFERROR(VLOOKUP("transport|SO2|Premature mortality", US_national_yearly!$D:$AM, 25, FALSE) / VLOOKUP("transport|SO2|Premature mortality", US_national_yearly!$D:$AM, 10, FALSE), 1)</f>
        <v>1.7067528969630103E-3</v>
      </c>
      <c r="R2" s="7">
        <f>$B2 * IFERROR(VLOOKUP("transport|SO2|Premature mortality", US_national_yearly!$D:$AM, 26, FALSE) / VLOOKUP("transport|SO2|Premature mortality", US_national_yearly!$D:$AM, 10, FALSE), 1)</f>
        <v>1.7242310568394241E-3</v>
      </c>
      <c r="S2" s="7">
        <f>$B2 * IFERROR(VLOOKUP("transport|SO2|Premature mortality", US_national_yearly!$D:$AM, 27, FALSE) / VLOOKUP("transport|SO2|Premature mortality", US_national_yearly!$D:$AM, 10, FALSE), 1)</f>
        <v>1.7335908441784252E-3</v>
      </c>
      <c r="T2" s="7">
        <f>$B2 * IFERROR(VLOOKUP("transport|SO2|Premature mortality", US_national_yearly!$D:$AM, 28, FALSE) / VLOOKUP("transport|SO2|Premature mortality", US_national_yearly!$D:$AM, 10, FALSE), 1)</f>
        <v>1.7429506315174261E-3</v>
      </c>
      <c r="U2" s="7">
        <f>$B2 * IFERROR(VLOOKUP("transport|SO2|Premature mortality", US_national_yearly!$D:$AM, 29, FALSE) / VLOOKUP("transport|SO2|Premature mortality", US_national_yearly!$D:$AM, 10, FALSE), 1)</f>
        <v>1.752310418856427E-3</v>
      </c>
      <c r="V2" s="7">
        <f>$B2 * IFERROR(VLOOKUP("transport|SO2|Premature mortality", US_national_yearly!$D:$AM, 30, FALSE) / VLOOKUP("transport|SO2|Premature mortality", US_national_yearly!$D:$AM, 10, FALSE), 1)</f>
        <v>1.7616702061954276E-3</v>
      </c>
      <c r="W2" s="7">
        <f>$B2 * IFERROR(VLOOKUP("transport|SO2|Premature mortality", US_national_yearly!$D:$AM, 31, FALSE) / VLOOKUP("transport|SO2|Premature mortality", US_national_yearly!$D:$AM, 10, FALSE), 1)</f>
        <v>1.7710299935344289E-3</v>
      </c>
      <c r="X2" s="7">
        <f>$B2 * IFERROR(VLOOKUP("transport|SO2|Premature mortality", US_national_yearly!$D:$AM, 32, FALSE) / VLOOKUP("transport|SO2|Premature mortality", US_national_yearly!$D:$AM, 10, FALSE), 1)</f>
        <v>1.7729314629617832E-3</v>
      </c>
      <c r="Y2" s="7">
        <f>$B2 * IFERROR(VLOOKUP("transport|SO2|Premature mortality", US_national_yearly!$D:$AM, 33, FALSE) / VLOOKUP("transport|SO2|Premature mortality", US_national_yearly!$D:$AM, 10, FALSE), 1)</f>
        <v>1.774832932389138E-3</v>
      </c>
      <c r="Z2" s="7">
        <f>$B2 * IFERROR(VLOOKUP("transport|SO2|Premature mortality", US_national_yearly!$D:$AM, 34, FALSE) / VLOOKUP("transport|SO2|Premature mortality", US_national_yearly!$D:$AM, 10, FALSE), 1)</f>
        <v>1.7767344018164927E-3</v>
      </c>
      <c r="AA2" s="7">
        <f>$B2 * IFERROR(VLOOKUP("transport|SO2|Premature mortality", US_national_yearly!$D:$AM, 35, FALSE) / VLOOKUP("transport|SO2|Premature mortality", US_national_yearly!$D:$AM, 10, FALSE), 1)</f>
        <v>1.7786358712438474E-3</v>
      </c>
      <c r="AB2" s="7">
        <f>$B2 * IFERROR(VLOOKUP("transport|SO2|Premature mortality", US_national_yearly!$D:$AM, 36, FALSE) / VLOOKUP("transport|SO2|Premature mortality", US_national_yearly!$D:$AM, 10, FALSE), 1)</f>
        <v>1.7805373406712018E-3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4.1592760317151458E-6</v>
      </c>
      <c r="C3" s="7">
        <f>$B3 * IFERROR(VLOOKUP("transport|SO2|Infant mortality", US_national_yearly!$D:$AM, 11, FALSE) / VLOOKUP("transport|SO2|Infant mortality", US_national_yearly!$D:$AM, 10, FALSE), 1)</f>
        <v>4.1235470919275936E-6</v>
      </c>
      <c r="D3" s="7">
        <f>$B3 * IFERROR(VLOOKUP("transport|SO2|Infant mortality", US_national_yearly!$D:$AM, 12, FALSE) / VLOOKUP("transport|SO2|Infant mortality", US_national_yearly!$D:$AM, 10, FALSE), 1)</f>
        <v>4.0878181521400415E-6</v>
      </c>
      <c r="E3" s="7">
        <f>$B3 * IFERROR(VLOOKUP("transport|SO2|Infant mortality", US_national_yearly!$D:$AM, 13, FALSE) / VLOOKUP("transport|SO2|Infant mortality", US_national_yearly!$D:$AM, 10, FALSE), 1)</f>
        <v>4.0520892123524885E-6</v>
      </c>
      <c r="F3" s="7">
        <f>$B3 * IFERROR(VLOOKUP("transport|SO2|Infant mortality", US_national_yearly!$D:$AM, 14, FALSE) / VLOOKUP("transport|SO2|Infant mortality", US_national_yearly!$D:$AM, 10, FALSE), 1)</f>
        <v>4.0163602725649363E-6</v>
      </c>
      <c r="G3" s="7">
        <f>$B3 * IFERROR(VLOOKUP("transport|SO2|Infant mortality", US_national_yearly!$D:$AM, 15, FALSE) / VLOOKUP("transport|SO2|Infant mortality", US_national_yearly!$D:$AM, 10, FALSE), 1)</f>
        <v>2.6752194255332245E-6</v>
      </c>
      <c r="H3" s="7">
        <f>$B3 * IFERROR(VLOOKUP("transport|SO2|Infant mortality", US_national_yearly!$D:$AM, 16, FALSE) / VLOOKUP("transport|SO2|Infant mortality", US_national_yearly!$D:$AM, 10, FALSE), 1)</f>
        <v>1.3340785785015143E-6</v>
      </c>
      <c r="I3" s="7">
        <f>$B3 * IFERROR(VLOOKUP("transport|SO2|Infant mortality", US_national_yearly!$D:$AM, 17, FALSE) / VLOOKUP("transport|SO2|Infant mortality", US_national_yearly!$D:$AM, 10, FALSE), 1)</f>
        <v>1.325709500721432E-6</v>
      </c>
      <c r="J3" s="7">
        <f>$B3 * IFERROR(VLOOKUP("transport|SO2|Infant mortality", US_national_yearly!$D:$AM, 18, FALSE) / VLOOKUP("transport|SO2|Infant mortality", US_national_yearly!$D:$AM, 10, FALSE), 1)</f>
        <v>1.3173404229413494E-6</v>
      </c>
      <c r="K3" s="7">
        <f>$B3 * IFERROR(VLOOKUP("transport|SO2|Infant mortality", US_national_yearly!$D:$AM, 19, FALSE) / VLOOKUP("transport|SO2|Infant mortality", US_national_yearly!$D:$AM, 10, FALSE), 1)</f>
        <v>1.308971345161267E-6</v>
      </c>
      <c r="L3" s="7">
        <f>$B3 * IFERROR(VLOOKUP("transport|SO2|Infant mortality", US_national_yearly!$D:$AM, 20, FALSE) / VLOOKUP("transport|SO2|Infant mortality", US_national_yearly!$D:$AM, 10, FALSE), 1)</f>
        <v>1.3006022673811849E-6</v>
      </c>
      <c r="M3" s="7">
        <f>$B3 * IFERROR(VLOOKUP("transport|SO2|Infant mortality", US_national_yearly!$D:$AM, 21, FALSE) / VLOOKUP("transport|SO2|Infant mortality", US_national_yearly!$D:$AM, 10, FALSE), 1)</f>
        <v>1.2922331896011023E-6</v>
      </c>
      <c r="N3" s="7">
        <f>$B3 * IFERROR(VLOOKUP("transport|SO2|Infant mortality", US_national_yearly!$D:$AM, 22, FALSE) / VLOOKUP("transport|SO2|Infant mortality", US_national_yearly!$D:$AM, 10, FALSE), 1)</f>
        <v>1.2869799821350032E-6</v>
      </c>
      <c r="O3" s="7">
        <f>$B3 * IFERROR(VLOOKUP("transport|SO2|Infant mortality", US_national_yearly!$D:$AM, 23, FALSE) / VLOOKUP("transport|SO2|Infant mortality", US_national_yearly!$D:$AM, 10, FALSE), 1)</f>
        <v>1.2817267746689039E-6</v>
      </c>
      <c r="P3" s="7">
        <f>$B3 * IFERROR(VLOOKUP("transport|SO2|Infant mortality", US_national_yearly!$D:$AM, 24, FALSE) / VLOOKUP("transport|SO2|Infant mortality", US_national_yearly!$D:$AM, 10, FALSE), 1)</f>
        <v>1.2764735672028044E-6</v>
      </c>
      <c r="Q3" s="7">
        <f>$B3 * IFERROR(VLOOKUP("transport|SO2|Infant mortality", US_national_yearly!$D:$AM, 25, FALSE) / VLOOKUP("transport|SO2|Infant mortality", US_national_yearly!$D:$AM, 10, FALSE), 1)</f>
        <v>1.2712203597367053E-6</v>
      </c>
      <c r="R3" s="7">
        <f>$B3 * IFERROR(VLOOKUP("transport|SO2|Infant mortality", US_national_yearly!$D:$AM, 26, FALSE) / VLOOKUP("transport|SO2|Infant mortality", US_national_yearly!$D:$AM, 10, FALSE), 1)</f>
        <v>1.2659671522706057E-6</v>
      </c>
      <c r="S3" s="7">
        <f>$B3 * IFERROR(VLOOKUP("transport|SO2|Infant mortality", US_national_yearly!$D:$AM, 27, FALSE) / VLOOKUP("transport|SO2|Infant mortality", US_national_yearly!$D:$AM, 10, FALSE), 1)</f>
        <v>1.2593714302646687E-6</v>
      </c>
      <c r="T3" s="7">
        <f>$B3 * IFERROR(VLOOKUP("transport|SO2|Infant mortality", US_national_yearly!$D:$AM, 28, FALSE) / VLOOKUP("transport|SO2|Infant mortality", US_national_yearly!$D:$AM, 10, FALSE), 1)</f>
        <v>1.2527757082587318E-6</v>
      </c>
      <c r="U3" s="7">
        <f>$B3 * IFERROR(VLOOKUP("transport|SO2|Infant mortality", US_national_yearly!$D:$AM, 29, FALSE) / VLOOKUP("transport|SO2|Infant mortality", US_national_yearly!$D:$AM, 10, FALSE), 1)</f>
        <v>1.2461799862527943E-6</v>
      </c>
      <c r="V3" s="7">
        <f>$B3 * IFERROR(VLOOKUP("transport|SO2|Infant mortality", US_national_yearly!$D:$AM, 30, FALSE) / VLOOKUP("transport|SO2|Infant mortality", US_national_yearly!$D:$AM, 10, FALSE), 1)</f>
        <v>1.2395842642468574E-6</v>
      </c>
      <c r="W3" s="7">
        <f>$B3 * IFERROR(VLOOKUP("transport|SO2|Infant mortality", US_national_yearly!$D:$AM, 31, FALSE) / VLOOKUP("transport|SO2|Infant mortality", US_national_yearly!$D:$AM, 10, FALSE), 1)</f>
        <v>1.2329885422409201E-6</v>
      </c>
      <c r="X3" s="7">
        <f>$B3 * IFERROR(VLOOKUP("transport|SO2|Infant mortality", US_national_yearly!$D:$AM, 32, FALSE) / VLOOKUP("transport|SO2|Infant mortality", US_national_yearly!$D:$AM, 10, FALSE), 1)</f>
        <v>1.2257773821732545E-6</v>
      </c>
      <c r="Y3" s="7">
        <f>$B3 * IFERROR(VLOOKUP("transport|SO2|Infant mortality", US_national_yearly!$D:$AM, 33, FALSE) / VLOOKUP("transport|SO2|Infant mortality", US_national_yearly!$D:$AM, 10, FALSE), 1)</f>
        <v>1.2185662221055883E-6</v>
      </c>
      <c r="Z3" s="7">
        <f>$B3 * IFERROR(VLOOKUP("transport|SO2|Infant mortality", US_national_yearly!$D:$AM, 34, FALSE) / VLOOKUP("transport|SO2|Infant mortality", US_national_yearly!$D:$AM, 10, FALSE), 1)</f>
        <v>1.2113550620379225E-6</v>
      </c>
      <c r="AA3" s="7">
        <f>$B3 * IFERROR(VLOOKUP("transport|SO2|Infant mortality", US_national_yearly!$D:$AM, 35, FALSE) / VLOOKUP("transport|SO2|Infant mortality", US_national_yearly!$D:$AM, 10, FALSE), 1)</f>
        <v>1.2041439019702565E-6</v>
      </c>
      <c r="AB3" s="7">
        <f>$B3 * IFERROR(VLOOKUP("transport|SO2|Infant mortality", US_national_yearly!$D:$AM, 36, FALSE) / VLOOKUP("transport|SO2|Infant mortality", US_national_yearly!$D:$AM, 10, FALSE), 1)</f>
        <v>1.1969327419025907E-6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3.3284761918524856E-3</v>
      </c>
      <c r="C6" s="7">
        <f>$B6 * IFERROR(VLOOKUP("transport|SO2|Asthma symptoms cough", US_national_yearly!$D:$AM, 11, FALSE) / VLOOKUP("transport|SO2|Asthma symptoms cough", US_national_yearly!$D:$AM, 10, FALSE), 1)</f>
        <v>3.3284761918524856E-3</v>
      </c>
      <c r="D6" s="7">
        <f>$B6 * IFERROR(VLOOKUP("transport|SO2|Asthma symptoms cough", US_national_yearly!$D:$AM, 12, FALSE) / VLOOKUP("transport|SO2|Asthma symptoms cough", US_national_yearly!$D:$AM, 10, FALSE), 1)</f>
        <v>3.3284761918524856E-3</v>
      </c>
      <c r="E6" s="7">
        <f>$B6 * IFERROR(VLOOKUP("transport|SO2|Asthma symptoms cough", US_national_yearly!$D:$AM, 13, FALSE) / VLOOKUP("transport|SO2|Asthma symptoms cough", US_national_yearly!$D:$AM, 10, FALSE), 1)</f>
        <v>3.3284761918524856E-3</v>
      </c>
      <c r="F6" s="7">
        <f>$B6 * IFERROR(VLOOKUP("transport|SO2|Asthma symptoms cough", US_national_yearly!$D:$AM, 14, FALSE) / VLOOKUP("transport|SO2|Asthma symptoms cough", US_national_yearly!$D:$AM, 10, FALSE), 1)</f>
        <v>3.3284761918524856E-3</v>
      </c>
      <c r="G6" s="7">
        <f>$B6 * IFERROR(VLOOKUP("transport|SO2|Asthma symptoms cough", US_national_yearly!$D:$AM, 15, FALSE) / VLOOKUP("transport|SO2|Asthma symptoms cough", US_national_yearly!$D:$AM, 10, FALSE), 1)</f>
        <v>3.3284761918524856E-3</v>
      </c>
      <c r="H6" s="7">
        <f>$B6 * IFERROR(VLOOKUP("transport|SO2|Asthma symptoms cough", US_national_yearly!$D:$AM, 16, FALSE) / VLOOKUP("transport|SO2|Asthma symptoms cough", US_national_yearly!$D:$AM, 10, FALSE), 1)</f>
        <v>3.3284761918524856E-3</v>
      </c>
      <c r="I6" s="7">
        <f>$B6 * IFERROR(VLOOKUP("transport|SO2|Asthma symptoms cough", US_national_yearly!$D:$AM, 17, FALSE) / VLOOKUP("transport|SO2|Asthma symptoms cough", US_national_yearly!$D:$AM, 10, FALSE), 1)</f>
        <v>3.3284761918524856E-3</v>
      </c>
      <c r="J6" s="7">
        <f>$B6 * IFERROR(VLOOKUP("transport|SO2|Asthma symptoms cough", US_national_yearly!$D:$AM, 18, FALSE) / VLOOKUP("transport|SO2|Asthma symptoms cough", US_national_yearly!$D:$AM, 10, FALSE), 1)</f>
        <v>3.3284761918524856E-3</v>
      </c>
      <c r="K6" s="7">
        <f>$B6 * IFERROR(VLOOKUP("transport|SO2|Asthma symptoms cough", US_national_yearly!$D:$AM, 19, FALSE) / VLOOKUP("transport|SO2|Asthma symptoms cough", US_national_yearly!$D:$AM, 10, FALSE), 1)</f>
        <v>3.3284761918524856E-3</v>
      </c>
      <c r="L6" s="7">
        <f>$B6 * IFERROR(VLOOKUP("transport|SO2|Asthma symptoms cough", US_national_yearly!$D:$AM, 20, FALSE) / VLOOKUP("transport|SO2|Asthma symptoms cough", US_national_yearly!$D:$AM, 10, FALSE), 1)</f>
        <v>3.3284761918524856E-3</v>
      </c>
      <c r="M6" s="7">
        <f>$B6 * IFERROR(VLOOKUP("transport|SO2|Asthma symptoms cough", US_national_yearly!$D:$AM, 21, FALSE) / VLOOKUP("transport|SO2|Asthma symptoms cough", US_national_yearly!$D:$AM, 10, FALSE), 1)</f>
        <v>3.3284761918524856E-3</v>
      </c>
      <c r="N6" s="7">
        <f>$B6 * IFERROR(VLOOKUP("transport|SO2|Asthma symptoms cough", US_national_yearly!$D:$AM, 22, FALSE) / VLOOKUP("transport|SO2|Asthma symptoms cough", US_national_yearly!$D:$AM, 10, FALSE), 1)</f>
        <v>3.3284761918524856E-3</v>
      </c>
      <c r="O6" s="7">
        <f>$B6 * IFERROR(VLOOKUP("transport|SO2|Asthma symptoms cough", US_national_yearly!$D:$AM, 23, FALSE) / VLOOKUP("transport|SO2|Asthma symptoms cough", US_national_yearly!$D:$AM, 10, FALSE), 1)</f>
        <v>3.3284761918524856E-3</v>
      </c>
      <c r="P6" s="7">
        <f>$B6 * IFERROR(VLOOKUP("transport|SO2|Asthma symptoms cough", US_national_yearly!$D:$AM, 24, FALSE) / VLOOKUP("transport|SO2|Asthma symptoms cough", US_national_yearly!$D:$AM, 10, FALSE), 1)</f>
        <v>3.3284761918524856E-3</v>
      </c>
      <c r="Q6" s="7">
        <f>$B6 * IFERROR(VLOOKUP("transport|SO2|Asthma symptoms cough", US_national_yearly!$D:$AM, 25, FALSE) / VLOOKUP("transport|SO2|Asthma symptoms cough", US_national_yearly!$D:$AM, 10, FALSE), 1)</f>
        <v>3.3284761918524856E-3</v>
      </c>
      <c r="R6" s="7">
        <f>$B6 * IFERROR(VLOOKUP("transport|SO2|Asthma symptoms cough", US_national_yearly!$D:$AM, 26, FALSE) / VLOOKUP("transport|SO2|Asthma symptoms cough", US_national_yearly!$D:$AM, 10, FALSE), 1)</f>
        <v>3.3284761918524856E-3</v>
      </c>
      <c r="S6" s="7">
        <f>$B6 * IFERROR(VLOOKUP("transport|SO2|Asthma symptoms cough", US_national_yearly!$D:$AM, 27, FALSE) / VLOOKUP("transport|SO2|Asthma symptoms cough", US_national_yearly!$D:$AM, 10, FALSE), 1)</f>
        <v>3.3284761918524856E-3</v>
      </c>
      <c r="T6" s="7">
        <f>$B6 * IFERROR(VLOOKUP("transport|SO2|Asthma symptoms cough", US_national_yearly!$D:$AM, 28, FALSE) / VLOOKUP("transport|SO2|Asthma symptoms cough", US_national_yearly!$D:$AM, 10, FALSE), 1)</f>
        <v>3.3284761918524856E-3</v>
      </c>
      <c r="U6" s="7">
        <f>$B6 * IFERROR(VLOOKUP("transport|SO2|Asthma symptoms cough", US_national_yearly!$D:$AM, 29, FALSE) / VLOOKUP("transport|SO2|Asthma symptoms cough", US_national_yearly!$D:$AM, 10, FALSE), 1)</f>
        <v>3.3284761918524856E-3</v>
      </c>
      <c r="V6" s="7">
        <f>$B6 * IFERROR(VLOOKUP("transport|SO2|Asthma symptoms cough", US_national_yearly!$D:$AM, 30, FALSE) / VLOOKUP("transport|SO2|Asthma symptoms cough", US_national_yearly!$D:$AM, 10, FALSE), 1)</f>
        <v>3.3284761918524856E-3</v>
      </c>
      <c r="W6" s="7">
        <f>$B6 * IFERROR(VLOOKUP("transport|SO2|Asthma symptoms cough", US_national_yearly!$D:$AM, 31, FALSE) / VLOOKUP("transport|SO2|Asthma symptoms cough", US_national_yearly!$D:$AM, 10, FALSE), 1)</f>
        <v>3.3284761918524856E-3</v>
      </c>
      <c r="X6" s="7">
        <f>$B6 * IFERROR(VLOOKUP("transport|SO2|Asthma symptoms cough", US_national_yearly!$D:$AM, 32, FALSE) / VLOOKUP("transport|SO2|Asthma symptoms cough", US_national_yearly!$D:$AM, 10, FALSE), 1)</f>
        <v>3.3284761918524856E-3</v>
      </c>
      <c r="Y6" s="7">
        <f>$B6 * IFERROR(VLOOKUP("transport|SO2|Asthma symptoms cough", US_national_yearly!$D:$AM, 33, FALSE) / VLOOKUP("transport|SO2|Asthma symptoms cough", US_national_yearly!$D:$AM, 10, FALSE), 1)</f>
        <v>3.3284761918524856E-3</v>
      </c>
      <c r="Z6" s="7">
        <f>$B6 * IFERROR(VLOOKUP("transport|SO2|Asthma symptoms cough", US_national_yearly!$D:$AM, 34, FALSE) / VLOOKUP("transport|SO2|Asthma symptoms cough", US_national_yearly!$D:$AM, 10, FALSE), 1)</f>
        <v>3.3284761918524856E-3</v>
      </c>
      <c r="AA6" s="7">
        <f>$B6 * IFERROR(VLOOKUP("transport|SO2|Asthma symptoms cough", US_national_yearly!$D:$AM, 35, FALSE) / VLOOKUP("transport|SO2|Asthma symptoms cough", US_national_yearly!$D:$AM, 10, FALSE), 1)</f>
        <v>3.3284761918524856E-3</v>
      </c>
      <c r="AB6" s="7">
        <f>$B6 * IFERROR(VLOOKUP("transport|SO2|Asthma symptoms cough", US_national_yearly!$D:$AM, 36, FALSE) / VLOOKUP("transport|SO2|Asthma symptoms cough", US_national_yearly!$D:$AM, 10, FALSE), 1)</f>
        <v>3.3284761918524856E-3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4.4822806267278813E-3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4.4822806267278813E-3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4.4822806267278813E-3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4.4822806267278813E-3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4.4822806267278813E-3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4.4822806267278813E-3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4.4822806267278813E-3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4.4822806267278813E-3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4.4822806267278813E-3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4.4822806267278813E-3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4.4822806267278813E-3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4.4822806267278813E-3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4.4822806267278813E-3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4.4822806267278813E-3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4.4822806267278813E-3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4.4822806267278813E-3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4.4822806267278813E-3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4.4822806267278813E-3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4.4822806267278813E-3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4.4822806267278813E-3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4.4822806267278813E-3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4.4822806267278813E-3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4.4822806267278813E-3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4.4822806267278813E-3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4.4822806267278813E-3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4.4822806267278813E-3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4.4822806267278813E-3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6.8481493727652956E-3</v>
      </c>
      <c r="C8" s="7">
        <f>$B8 * IFERROR(VLOOKUP("transport|SO2|Asthma symptoms wheeze", US_national_yearly!$D:$AM, 11, FALSE) / VLOOKUP("transport|SO2|Asthma symptoms wheeze", US_national_yearly!$D:$AM, 10, FALSE), 1)</f>
        <v>6.8481493727652956E-3</v>
      </c>
      <c r="D8" s="7">
        <f>$B8 * IFERROR(VLOOKUP("transport|SO2|Asthma symptoms wheeze", US_national_yearly!$D:$AM, 12, FALSE) / VLOOKUP("transport|SO2|Asthma symptoms wheeze", US_national_yearly!$D:$AM, 10, FALSE), 1)</f>
        <v>6.8481493727652956E-3</v>
      </c>
      <c r="E8" s="7">
        <f>$B8 * IFERROR(VLOOKUP("transport|SO2|Asthma symptoms wheeze", US_national_yearly!$D:$AM, 13, FALSE) / VLOOKUP("transport|SO2|Asthma symptoms wheeze", US_national_yearly!$D:$AM, 10, FALSE), 1)</f>
        <v>6.8481493727652956E-3</v>
      </c>
      <c r="F8" s="7">
        <f>$B8 * IFERROR(VLOOKUP("transport|SO2|Asthma symptoms wheeze", US_national_yearly!$D:$AM, 14, FALSE) / VLOOKUP("transport|SO2|Asthma symptoms wheeze", US_national_yearly!$D:$AM, 10, FALSE), 1)</f>
        <v>6.8481493727652956E-3</v>
      </c>
      <c r="G8" s="7">
        <f>$B8 * IFERROR(VLOOKUP("transport|SO2|Asthma symptoms wheeze", US_national_yearly!$D:$AM, 15, FALSE) / VLOOKUP("transport|SO2|Asthma symptoms wheeze", US_national_yearly!$D:$AM, 10, FALSE), 1)</f>
        <v>6.8481493727652956E-3</v>
      </c>
      <c r="H8" s="7">
        <f>$B8 * IFERROR(VLOOKUP("transport|SO2|Asthma symptoms wheeze", US_national_yearly!$D:$AM, 16, FALSE) / VLOOKUP("transport|SO2|Asthma symptoms wheeze", US_national_yearly!$D:$AM, 10, FALSE), 1)</f>
        <v>6.8481493727652956E-3</v>
      </c>
      <c r="I8" s="7">
        <f>$B8 * IFERROR(VLOOKUP("transport|SO2|Asthma symptoms wheeze", US_national_yearly!$D:$AM, 17, FALSE) / VLOOKUP("transport|SO2|Asthma symptoms wheeze", US_national_yearly!$D:$AM, 10, FALSE), 1)</f>
        <v>6.8481493727652956E-3</v>
      </c>
      <c r="J8" s="7">
        <f>$B8 * IFERROR(VLOOKUP("transport|SO2|Asthma symptoms wheeze", US_national_yearly!$D:$AM, 18, FALSE) / VLOOKUP("transport|SO2|Asthma symptoms wheeze", US_national_yearly!$D:$AM, 10, FALSE), 1)</f>
        <v>6.8481493727652956E-3</v>
      </c>
      <c r="K8" s="7">
        <f>$B8 * IFERROR(VLOOKUP("transport|SO2|Asthma symptoms wheeze", US_national_yearly!$D:$AM, 19, FALSE) / VLOOKUP("transport|SO2|Asthma symptoms wheeze", US_national_yearly!$D:$AM, 10, FALSE), 1)</f>
        <v>6.8481493727652956E-3</v>
      </c>
      <c r="L8" s="7">
        <f>$B8 * IFERROR(VLOOKUP("transport|SO2|Asthma symptoms wheeze", US_national_yearly!$D:$AM, 20, FALSE) / VLOOKUP("transport|SO2|Asthma symptoms wheeze", US_national_yearly!$D:$AM, 10, FALSE), 1)</f>
        <v>6.8481493727652956E-3</v>
      </c>
      <c r="M8" s="7">
        <f>$B8 * IFERROR(VLOOKUP("transport|SO2|Asthma symptoms wheeze", US_national_yearly!$D:$AM, 21, FALSE) / VLOOKUP("transport|SO2|Asthma symptoms wheeze", US_national_yearly!$D:$AM, 10, FALSE), 1)</f>
        <v>6.8481493727652956E-3</v>
      </c>
      <c r="N8" s="7">
        <f>$B8 * IFERROR(VLOOKUP("transport|SO2|Asthma symptoms wheeze", US_national_yearly!$D:$AM, 22, FALSE) / VLOOKUP("transport|SO2|Asthma symptoms wheeze", US_national_yearly!$D:$AM, 10, FALSE), 1)</f>
        <v>6.8481493727652956E-3</v>
      </c>
      <c r="O8" s="7">
        <f>$B8 * IFERROR(VLOOKUP("transport|SO2|Asthma symptoms wheeze", US_national_yearly!$D:$AM, 23, FALSE) / VLOOKUP("transport|SO2|Asthma symptoms wheeze", US_national_yearly!$D:$AM, 10, FALSE), 1)</f>
        <v>6.8481493727652956E-3</v>
      </c>
      <c r="P8" s="7">
        <f>$B8 * IFERROR(VLOOKUP("transport|SO2|Asthma symptoms wheeze", US_national_yearly!$D:$AM, 24, FALSE) / VLOOKUP("transport|SO2|Asthma symptoms wheeze", US_national_yearly!$D:$AM, 10, FALSE), 1)</f>
        <v>6.8481493727652956E-3</v>
      </c>
      <c r="Q8" s="7">
        <f>$B8 * IFERROR(VLOOKUP("transport|SO2|Asthma symptoms wheeze", US_national_yearly!$D:$AM, 25, FALSE) / VLOOKUP("transport|SO2|Asthma symptoms wheeze", US_national_yearly!$D:$AM, 10, FALSE), 1)</f>
        <v>6.8481493727652956E-3</v>
      </c>
      <c r="R8" s="7">
        <f>$B8 * IFERROR(VLOOKUP("transport|SO2|Asthma symptoms wheeze", US_national_yearly!$D:$AM, 26, FALSE) / VLOOKUP("transport|SO2|Asthma symptoms wheeze", US_national_yearly!$D:$AM, 10, FALSE), 1)</f>
        <v>6.8481493727652956E-3</v>
      </c>
      <c r="S8" s="7">
        <f>$B8 * IFERROR(VLOOKUP("transport|SO2|Asthma symptoms wheeze", US_national_yearly!$D:$AM, 27, FALSE) / VLOOKUP("transport|SO2|Asthma symptoms wheeze", US_national_yearly!$D:$AM, 10, FALSE), 1)</f>
        <v>6.8481493727652956E-3</v>
      </c>
      <c r="T8" s="7">
        <f>$B8 * IFERROR(VLOOKUP("transport|SO2|Asthma symptoms wheeze", US_national_yearly!$D:$AM, 28, FALSE) / VLOOKUP("transport|SO2|Asthma symptoms wheeze", US_national_yearly!$D:$AM, 10, FALSE), 1)</f>
        <v>6.8481493727652956E-3</v>
      </c>
      <c r="U8" s="7">
        <f>$B8 * IFERROR(VLOOKUP("transport|SO2|Asthma symptoms wheeze", US_national_yearly!$D:$AM, 29, FALSE) / VLOOKUP("transport|SO2|Asthma symptoms wheeze", US_national_yearly!$D:$AM, 10, FALSE), 1)</f>
        <v>6.8481493727652956E-3</v>
      </c>
      <c r="V8" s="7">
        <f>$B8 * IFERROR(VLOOKUP("transport|SO2|Asthma symptoms wheeze", US_national_yearly!$D:$AM, 30, FALSE) / VLOOKUP("transport|SO2|Asthma symptoms wheeze", US_national_yearly!$D:$AM, 10, FALSE), 1)</f>
        <v>6.8481493727652956E-3</v>
      </c>
      <c r="W8" s="7">
        <f>$B8 * IFERROR(VLOOKUP("transport|SO2|Asthma symptoms wheeze", US_national_yearly!$D:$AM, 31, FALSE) / VLOOKUP("transport|SO2|Asthma symptoms wheeze", US_national_yearly!$D:$AM, 10, FALSE), 1)</f>
        <v>6.8481493727652956E-3</v>
      </c>
      <c r="X8" s="7">
        <f>$B8 * IFERROR(VLOOKUP("transport|SO2|Asthma symptoms wheeze", US_national_yearly!$D:$AM, 32, FALSE) / VLOOKUP("transport|SO2|Asthma symptoms wheeze", US_national_yearly!$D:$AM, 10, FALSE), 1)</f>
        <v>6.8481493727652956E-3</v>
      </c>
      <c r="Y8" s="7">
        <f>$B8 * IFERROR(VLOOKUP("transport|SO2|Asthma symptoms wheeze", US_national_yearly!$D:$AM, 33, FALSE) / VLOOKUP("transport|SO2|Asthma symptoms wheeze", US_national_yearly!$D:$AM, 10, FALSE), 1)</f>
        <v>6.8481493727652956E-3</v>
      </c>
      <c r="Z8" s="7">
        <f>$B8 * IFERROR(VLOOKUP("transport|SO2|Asthma symptoms wheeze", US_national_yearly!$D:$AM, 34, FALSE) / VLOOKUP("transport|SO2|Asthma symptoms wheeze", US_national_yearly!$D:$AM, 10, FALSE), 1)</f>
        <v>6.8481493727652956E-3</v>
      </c>
      <c r="AA8" s="7">
        <f>$B8 * IFERROR(VLOOKUP("transport|SO2|Asthma symptoms wheeze", US_national_yearly!$D:$AM, 35, FALSE) / VLOOKUP("transport|SO2|Asthma symptoms wheeze", US_national_yearly!$D:$AM, 10, FALSE), 1)</f>
        <v>6.8481493727652956E-3</v>
      </c>
      <c r="AB8" s="7">
        <f>$B8 * IFERROR(VLOOKUP("transport|SO2|Asthma symptoms wheeze", US_national_yearly!$D:$AM, 36, FALSE) / VLOOKUP("transport|SO2|Asthma symptoms wheeze", US_national_yearly!$D:$AM, 10, FALSE), 1)</f>
        <v>6.8481493727652956E-3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1.0908910316353872E-4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1.0973251611516929E-4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1.1037592906679985E-4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1.1101934201843042E-4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1.1166275497006098E-4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1.1236418361244088E-4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1.1306561225482078E-4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1.1375730441119875E-4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1.1444899656757675E-4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1.1514068872395471E-4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1.1583238088033271E-4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1.1652407303671067E-4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1.1702898695929972E-4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1.1753390088188874E-4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1.1803881480447777E-4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1.1854372872706682E-4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1.1904864264965584E-4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1.1953029200578636E-4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1.2001194136191687E-4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1.2049359071804739E-4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1.2097524007417792E-4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1.2145688943030845E-4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1.2191389559184957E-4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1.2237090175339066E-4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1.2282790791493179E-4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1.2328491407647289E-4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1.2374192023801404E-4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5.5045271068004074E-4</v>
      </c>
      <c r="C13" s="7">
        <f>$B13 * IFERROR(VLOOKUP("transport|SO2|Non-fatal heart attacks", US_national_yearly!$D:$AM, 11, FALSE) / VLOOKUP("transport|SO2|Non-fatal heart attacks", US_national_yearly!$D:$AM, 10, FALSE), 1)</f>
        <v>5.6661200291173539E-4</v>
      </c>
      <c r="D13" s="7">
        <f>$B13 * IFERROR(VLOOKUP("transport|SO2|Non-fatal heart attacks", US_national_yearly!$D:$AM, 12, FALSE) / VLOOKUP("transport|SO2|Non-fatal heart attacks", US_national_yearly!$D:$AM, 10, FALSE), 1)</f>
        <v>5.8277129514343014E-4</v>
      </c>
      <c r="E13" s="7">
        <f>$B13 * IFERROR(VLOOKUP("transport|SO2|Non-fatal heart attacks", US_national_yearly!$D:$AM, 13, FALSE) / VLOOKUP("transport|SO2|Non-fatal heart attacks", US_national_yearly!$D:$AM, 10, FALSE), 1)</f>
        <v>5.9893058737512479E-4</v>
      </c>
      <c r="F13" s="7">
        <f>$B13 * IFERROR(VLOOKUP("transport|SO2|Non-fatal heart attacks", US_national_yearly!$D:$AM, 14, FALSE) / VLOOKUP("transport|SO2|Non-fatal heart attacks", US_national_yearly!$D:$AM, 10, FALSE), 1)</f>
        <v>6.1508987960681943E-4</v>
      </c>
      <c r="G13" s="7">
        <f>$B13 * IFERROR(VLOOKUP("transport|SO2|Non-fatal heart attacks", US_national_yearly!$D:$AM, 15, FALSE) / VLOOKUP("transport|SO2|Non-fatal heart attacks", US_national_yearly!$D:$AM, 10, FALSE), 1)</f>
        <v>6.3032959104722744E-4</v>
      </c>
      <c r="H13" s="7">
        <f>$B13 * IFERROR(VLOOKUP("transport|SO2|Non-fatal heart attacks", US_national_yearly!$D:$AM, 16, FALSE) / VLOOKUP("transport|SO2|Non-fatal heart attacks", US_national_yearly!$D:$AM, 10, FALSE), 1)</f>
        <v>6.4556930248763555E-4</v>
      </c>
      <c r="I13" s="7">
        <f>$B13 * IFERROR(VLOOKUP("transport|SO2|Non-fatal heart attacks", US_national_yearly!$D:$AM, 17, FALSE) / VLOOKUP("transport|SO2|Non-fatal heart attacks", US_national_yearly!$D:$AM, 10, FALSE), 1)</f>
        <v>6.5783249276857899E-4</v>
      </c>
      <c r="J13" s="7">
        <f>$B13 * IFERROR(VLOOKUP("transport|SO2|Non-fatal heart attacks", US_national_yearly!$D:$AM, 18, FALSE) / VLOOKUP("transport|SO2|Non-fatal heart attacks", US_national_yearly!$D:$AM, 10, FALSE), 1)</f>
        <v>6.7009568304952243E-4</v>
      </c>
      <c r="K13" s="7">
        <f>$B13 * IFERROR(VLOOKUP("transport|SO2|Non-fatal heart attacks", US_national_yearly!$D:$AM, 19, FALSE) / VLOOKUP("transport|SO2|Non-fatal heart attacks", US_national_yearly!$D:$AM, 10, FALSE), 1)</f>
        <v>6.8235887333046588E-4</v>
      </c>
      <c r="L13" s="7">
        <f>$B13 * IFERROR(VLOOKUP("transport|SO2|Non-fatal heart attacks", US_national_yearly!$D:$AM, 20, FALSE) / VLOOKUP("transport|SO2|Non-fatal heart attacks", US_national_yearly!$D:$AM, 10, FALSE), 1)</f>
        <v>6.9462206361140953E-4</v>
      </c>
      <c r="M13" s="7">
        <f>$B13 * IFERROR(VLOOKUP("transport|SO2|Non-fatal heart attacks", US_national_yearly!$D:$AM, 21, FALSE) / VLOOKUP("transport|SO2|Non-fatal heart attacks", US_national_yearly!$D:$AM, 10, FALSE), 1)</f>
        <v>7.0688525389235308E-4</v>
      </c>
      <c r="N13" s="7">
        <f>$B13 * IFERROR(VLOOKUP("transport|SO2|Non-fatal heart attacks", US_national_yearly!$D:$AM, 22, FALSE) / VLOOKUP("transport|SO2|Non-fatal heart attacks", US_national_yearly!$D:$AM, 10, FALSE), 1)</f>
        <v>7.1484789150076515E-4</v>
      </c>
      <c r="O13" s="7">
        <f>$B13 * IFERROR(VLOOKUP("transport|SO2|Non-fatal heart attacks", US_national_yearly!$D:$AM, 23, FALSE) / VLOOKUP("transport|SO2|Non-fatal heart attacks", US_national_yearly!$D:$AM, 10, FALSE), 1)</f>
        <v>7.2281052910917742E-4</v>
      </c>
      <c r="P13" s="7">
        <f>$B13 * IFERROR(VLOOKUP("transport|SO2|Non-fatal heart attacks", US_national_yearly!$D:$AM, 24, FALSE) / VLOOKUP("transport|SO2|Non-fatal heart attacks", US_national_yearly!$D:$AM, 10, FALSE), 1)</f>
        <v>7.3077316671758981E-4</v>
      </c>
      <c r="Q13" s="7">
        <f>$B13 * IFERROR(VLOOKUP("transport|SO2|Non-fatal heart attacks", US_national_yearly!$D:$AM, 25, FALSE) / VLOOKUP("transport|SO2|Non-fatal heart attacks", US_national_yearly!$D:$AM, 10, FALSE), 1)</f>
        <v>7.3873580432600198E-4</v>
      </c>
      <c r="R13" s="7">
        <f>$B13 * IFERROR(VLOOKUP("transport|SO2|Non-fatal heart attacks", US_national_yearly!$D:$AM, 26, FALSE) / VLOOKUP("transport|SO2|Non-fatal heart attacks", US_national_yearly!$D:$AM, 10, FALSE), 1)</f>
        <v>7.4669844193441415E-4</v>
      </c>
      <c r="S13" s="7">
        <f>$B13 * IFERROR(VLOOKUP("transport|SO2|Non-fatal heart attacks", US_national_yearly!$D:$AM, 27, FALSE) / VLOOKUP("transport|SO2|Non-fatal heart attacks", US_national_yearly!$D:$AM, 10, FALSE), 1)</f>
        <v>7.5085569024160945E-4</v>
      </c>
      <c r="T13" s="7">
        <f>$B13 * IFERROR(VLOOKUP("transport|SO2|Non-fatal heart attacks", US_national_yearly!$D:$AM, 28, FALSE) / VLOOKUP("transport|SO2|Non-fatal heart attacks", US_national_yearly!$D:$AM, 10, FALSE), 1)</f>
        <v>7.5501293854880465E-4</v>
      </c>
      <c r="U13" s="7">
        <f>$B13 * IFERROR(VLOOKUP("transport|SO2|Non-fatal heart attacks", US_national_yearly!$D:$AM, 29, FALSE) / VLOOKUP("transport|SO2|Non-fatal heart attacks", US_national_yearly!$D:$AM, 10, FALSE), 1)</f>
        <v>7.5917018685599984E-4</v>
      </c>
      <c r="V13" s="7">
        <f>$B13 * IFERROR(VLOOKUP("transport|SO2|Non-fatal heart attacks", US_national_yearly!$D:$AM, 30, FALSE) / VLOOKUP("transport|SO2|Non-fatal heart attacks", US_national_yearly!$D:$AM, 10, FALSE), 1)</f>
        <v>7.6332743516319493E-4</v>
      </c>
      <c r="W13" s="7">
        <f>$B13 * IFERROR(VLOOKUP("transport|SO2|Non-fatal heart attacks", US_national_yearly!$D:$AM, 31, FALSE) / VLOOKUP("transport|SO2|Non-fatal heart attacks", US_national_yearly!$D:$AM, 10, FALSE), 1)</f>
        <v>7.6748468347039034E-4</v>
      </c>
      <c r="X13" s="7">
        <f>$B13 * IFERROR(VLOOKUP("transport|SO2|Non-fatal heart attacks", US_national_yearly!$D:$AM, 32, FALSE) / VLOOKUP("transport|SO2|Non-fatal heart attacks", US_national_yearly!$D:$AM, 10, FALSE), 1)</f>
        <v>7.7062304229180299E-4</v>
      </c>
      <c r="Y13" s="7">
        <f>$B13 * IFERROR(VLOOKUP("transport|SO2|Non-fatal heart attacks", US_national_yearly!$D:$AM, 33, FALSE) / VLOOKUP("transport|SO2|Non-fatal heart attacks", US_national_yearly!$D:$AM, 10, FALSE), 1)</f>
        <v>7.7376140111321565E-4</v>
      </c>
      <c r="Z13" s="7">
        <f>$B13 * IFERROR(VLOOKUP("transport|SO2|Non-fatal heart attacks", US_national_yearly!$D:$AM, 34, FALSE) / VLOOKUP("transport|SO2|Non-fatal heart attacks", US_national_yearly!$D:$AM, 10, FALSE), 1)</f>
        <v>7.7689975993462819E-4</v>
      </c>
      <c r="AA13" s="7">
        <f>$B13 * IFERROR(VLOOKUP("transport|SO2|Non-fatal heart attacks", US_national_yearly!$D:$AM, 35, FALSE) / VLOOKUP("transport|SO2|Non-fatal heart attacks", US_national_yearly!$D:$AM, 10, FALSE), 1)</f>
        <v>7.8003811875604085E-4</v>
      </c>
      <c r="AB13" s="7">
        <f>$B13 * IFERROR(VLOOKUP("transport|SO2|Non-fatal heart attacks", US_national_yearly!$D:$AM, 36, FALSE) / VLOOKUP("transport|SO2|Non-fatal heart attacks", US_national_yearly!$D:$AM, 10, FALSE), 1)</f>
        <v>7.8317647757745351E-4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0.38896354180296061</v>
      </c>
      <c r="C14" s="7">
        <f>$B14 * IFERROR(VLOOKUP("transport|SO2|Minor restricted activity days", US_national_yearly!$D:$AM, 11, FALSE) / VLOOKUP("transport|SO2|Minor restricted activity days", US_national_yearly!$D:$AM, 10, FALSE), 1)</f>
        <v>0.38994398929218005</v>
      </c>
      <c r="D14" s="7">
        <f>$B14 * IFERROR(VLOOKUP("transport|SO2|Minor restricted activity days", US_national_yearly!$D:$AM, 12, FALSE) / VLOOKUP("transport|SO2|Minor restricted activity days", US_national_yearly!$D:$AM, 10, FALSE), 1)</f>
        <v>0.39092443678139943</v>
      </c>
      <c r="E14" s="7">
        <f>$B14 * IFERROR(VLOOKUP("transport|SO2|Minor restricted activity days", US_national_yearly!$D:$AM, 13, FALSE) / VLOOKUP("transport|SO2|Minor restricted activity days", US_national_yearly!$D:$AM, 10, FALSE), 1)</f>
        <v>0.39190488427061887</v>
      </c>
      <c r="F14" s="7">
        <f>$B14 * IFERROR(VLOOKUP("transport|SO2|Minor restricted activity days", US_national_yearly!$D:$AM, 14, FALSE) / VLOOKUP("transport|SO2|Minor restricted activity days", US_national_yearly!$D:$AM, 10, FALSE), 1)</f>
        <v>0.3928853317598382</v>
      </c>
      <c r="G14" s="7">
        <f>$B14 * IFERROR(VLOOKUP("transport|SO2|Minor restricted activity days", US_national_yearly!$D:$AM, 15, FALSE) / VLOOKUP("transport|SO2|Minor restricted activity days", US_national_yearly!$D:$AM, 10, FALSE), 1)</f>
        <v>0.39432845414426998</v>
      </c>
      <c r="H14" s="7">
        <f>$B14 * IFERROR(VLOOKUP("transport|SO2|Minor restricted activity days", US_national_yearly!$D:$AM, 16, FALSE) / VLOOKUP("transport|SO2|Minor restricted activity days", US_national_yearly!$D:$AM, 10, FALSE), 1)</f>
        <v>0.39577157652870176</v>
      </c>
      <c r="I14" s="7">
        <f>$B14 * IFERROR(VLOOKUP("transport|SO2|Minor restricted activity days", US_national_yearly!$D:$AM, 17, FALSE) / VLOOKUP("transport|SO2|Minor restricted activity days", US_national_yearly!$D:$AM, 10, FALSE), 1)</f>
        <v>0.39823268724058375</v>
      </c>
      <c r="J14" s="7">
        <f>$B14 * IFERROR(VLOOKUP("transport|SO2|Minor restricted activity days", US_national_yearly!$D:$AM, 18, FALSE) / VLOOKUP("transport|SO2|Minor restricted activity days", US_national_yearly!$D:$AM, 10, FALSE), 1)</f>
        <v>0.40069379795246568</v>
      </c>
      <c r="K14" s="7">
        <f>$B14 * IFERROR(VLOOKUP("transport|SO2|Minor restricted activity days", US_national_yearly!$D:$AM, 19, FALSE) / VLOOKUP("transport|SO2|Minor restricted activity days", US_national_yearly!$D:$AM, 10, FALSE), 1)</f>
        <v>0.40315490866434772</v>
      </c>
      <c r="L14" s="7">
        <f>$B14 * IFERROR(VLOOKUP("transport|SO2|Minor restricted activity days", US_national_yearly!$D:$AM, 20, FALSE) / VLOOKUP("transport|SO2|Minor restricted activity days", US_national_yearly!$D:$AM, 10, FALSE), 1)</f>
        <v>0.40561601937622971</v>
      </c>
      <c r="M14" s="7">
        <f>$B14 * IFERROR(VLOOKUP("transport|SO2|Minor restricted activity days", US_national_yearly!$D:$AM, 21, FALSE) / VLOOKUP("transport|SO2|Minor restricted activity days", US_national_yearly!$D:$AM, 10, FALSE), 1)</f>
        <v>0.40807713008811164</v>
      </c>
      <c r="N14" s="7">
        <f>$B14 * IFERROR(VLOOKUP("transport|SO2|Minor restricted activity days", US_national_yearly!$D:$AM, 22, FALSE) / VLOOKUP("transport|SO2|Minor restricted activity days", US_national_yearly!$D:$AM, 10, FALSE), 1)</f>
        <v>0.41144353463465566</v>
      </c>
      <c r="O14" s="7">
        <f>$B14 * IFERROR(VLOOKUP("transport|SO2|Minor restricted activity days", US_national_yearly!$D:$AM, 23, FALSE) / VLOOKUP("transport|SO2|Minor restricted activity days", US_national_yearly!$D:$AM, 10, FALSE), 1)</f>
        <v>0.41480993918119963</v>
      </c>
      <c r="P14" s="7">
        <f>$B14 * IFERROR(VLOOKUP("transport|SO2|Minor restricted activity days", US_national_yearly!$D:$AM, 24, FALSE) / VLOOKUP("transport|SO2|Minor restricted activity days", US_national_yearly!$D:$AM, 10, FALSE), 1)</f>
        <v>0.41817634372774359</v>
      </c>
      <c r="Q14" s="7">
        <f>$B14 * IFERROR(VLOOKUP("transport|SO2|Minor restricted activity days", US_national_yearly!$D:$AM, 25, FALSE) / VLOOKUP("transport|SO2|Minor restricted activity days", US_national_yearly!$D:$AM, 10, FALSE), 1)</f>
        <v>0.42154274827428762</v>
      </c>
      <c r="R14" s="7">
        <f>$B14 * IFERROR(VLOOKUP("transport|SO2|Minor restricted activity days", US_national_yearly!$D:$AM, 26, FALSE) / VLOOKUP("transport|SO2|Minor restricted activity days", US_national_yearly!$D:$AM, 10, FALSE), 1)</f>
        <v>0.42490915282083158</v>
      </c>
      <c r="S14" s="7">
        <f>$B14 * IFERROR(VLOOKUP("transport|SO2|Minor restricted activity days", US_national_yearly!$D:$AM, 27, FALSE) / VLOOKUP("transport|SO2|Minor restricted activity days", US_national_yearly!$D:$AM, 10, FALSE), 1)</f>
        <v>0.42834153173925887</v>
      </c>
      <c r="T14" s="7">
        <f>$B14 * IFERROR(VLOOKUP("transport|SO2|Minor restricted activity days", US_national_yearly!$D:$AM, 28, FALSE) / VLOOKUP("transport|SO2|Minor restricted activity days", US_national_yearly!$D:$AM, 10, FALSE), 1)</f>
        <v>0.43177391065768617</v>
      </c>
      <c r="U14" s="7">
        <f>$B14 * IFERROR(VLOOKUP("transport|SO2|Minor restricted activity days", US_national_yearly!$D:$AM, 29, FALSE) / VLOOKUP("transport|SO2|Minor restricted activity days", US_national_yearly!$D:$AM, 10, FALSE), 1)</f>
        <v>0.43520628957611346</v>
      </c>
      <c r="V14" s="7">
        <f>$B14 * IFERROR(VLOOKUP("transport|SO2|Minor restricted activity days", US_national_yearly!$D:$AM, 30, FALSE) / VLOOKUP("transport|SO2|Minor restricted activity days", US_national_yearly!$D:$AM, 10, FALSE), 1)</f>
        <v>0.43863866849454075</v>
      </c>
      <c r="W14" s="7">
        <f>$B14 * IFERROR(VLOOKUP("transport|SO2|Minor restricted activity days", US_national_yearly!$D:$AM, 31, FALSE) / VLOOKUP("transport|SO2|Minor restricted activity days", US_national_yearly!$D:$AM, 10, FALSE), 1)</f>
        <v>0.4420710474129681</v>
      </c>
      <c r="X14" s="7">
        <f>$B14 * IFERROR(VLOOKUP("transport|SO2|Minor restricted activity days", US_national_yearly!$D:$AM, 32, FALSE) / VLOOKUP("transport|SO2|Minor restricted activity days", US_national_yearly!$D:$AM, 10, FALSE), 1)</f>
        <v>0.44508955114951143</v>
      </c>
      <c r="Y14" s="7">
        <f>$B14 * IFERROR(VLOOKUP("transport|SO2|Minor restricted activity days", US_national_yearly!$D:$AM, 33, FALSE) / VLOOKUP("transport|SO2|Minor restricted activity days", US_national_yearly!$D:$AM, 10, FALSE), 1)</f>
        <v>0.44810805488605476</v>
      </c>
      <c r="Z14" s="7">
        <f>$B14 * IFERROR(VLOOKUP("transport|SO2|Minor restricted activity days", US_national_yearly!$D:$AM, 34, FALSE) / VLOOKUP("transport|SO2|Minor restricted activity days", US_national_yearly!$D:$AM, 10, FALSE), 1)</f>
        <v>0.45112655862259815</v>
      </c>
      <c r="AA14" s="7">
        <f>$B14 * IFERROR(VLOOKUP("transport|SO2|Minor restricted activity days", US_national_yearly!$D:$AM, 35, FALSE) / VLOOKUP("transport|SO2|Minor restricted activity days", US_national_yearly!$D:$AM, 10, FALSE), 1)</f>
        <v>0.45414506235914148</v>
      </c>
      <c r="AB14" s="7">
        <f>$B14 * IFERROR(VLOOKUP("transport|SO2|Minor restricted activity days", US_national_yearly!$D:$AM, 36, FALSE) / VLOOKUP("transport|SO2|Minor restricted activity days", US_national_yearly!$D:$AM, 10, FALSE), 1)</f>
        <v>0.45716356609568487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6.5746135148431056E-2</v>
      </c>
      <c r="C15" s="7">
        <f>$B15 * IFERROR(VLOOKUP("transport|SO2|Work loss days", US_national_yearly!$D:$AM, 11, FALSE) / VLOOKUP("transport|SO2|Work loss days", US_national_yearly!$D:$AM, 10, FALSE), 1)</f>
        <v>6.5959142176888086E-2</v>
      </c>
      <c r="D15" s="7">
        <f>$B15 * IFERROR(VLOOKUP("transport|SO2|Work loss days", US_national_yearly!$D:$AM, 12, FALSE) / VLOOKUP("transport|SO2|Work loss days", US_national_yearly!$D:$AM, 10, FALSE), 1)</f>
        <v>6.6172149205345129E-2</v>
      </c>
      <c r="E15" s="7">
        <f>$B15 * IFERROR(VLOOKUP("transport|SO2|Work loss days", US_national_yearly!$D:$AM, 13, FALSE) / VLOOKUP("transport|SO2|Work loss days", US_national_yearly!$D:$AM, 10, FALSE), 1)</f>
        <v>6.6385156233802159E-2</v>
      </c>
      <c r="F15" s="7">
        <f>$B15 * IFERROR(VLOOKUP("transport|SO2|Work loss days", US_national_yearly!$D:$AM, 14, FALSE) / VLOOKUP("transport|SO2|Work loss days", US_national_yearly!$D:$AM, 10, FALSE), 1)</f>
        <v>6.6598163262259188E-2</v>
      </c>
      <c r="G15" s="7">
        <f>$B15 * IFERROR(VLOOKUP("transport|SO2|Work loss days", US_national_yearly!$D:$AM, 15, FALSE) / VLOOKUP("transport|SO2|Work loss days", US_national_yearly!$D:$AM, 10, FALSE), 1)</f>
        <v>6.6876483008014076E-2</v>
      </c>
      <c r="H15" s="7">
        <f>$B15 * IFERROR(VLOOKUP("transport|SO2|Work loss days", US_national_yearly!$D:$AM, 16, FALSE) / VLOOKUP("transport|SO2|Work loss days", US_national_yearly!$D:$AM, 10, FALSE), 1)</f>
        <v>6.715480275376895E-2</v>
      </c>
      <c r="I15" s="7">
        <f>$B15 * IFERROR(VLOOKUP("transport|SO2|Work loss days", US_national_yearly!$D:$AM, 17, FALSE) / VLOOKUP("transport|SO2|Work loss days", US_national_yearly!$D:$AM, 10, FALSE), 1)</f>
        <v>6.7561947180077922E-2</v>
      </c>
      <c r="J15" s="7">
        <f>$B15 * IFERROR(VLOOKUP("transport|SO2|Work loss days", US_national_yearly!$D:$AM, 18, FALSE) / VLOOKUP("transport|SO2|Work loss days", US_national_yearly!$D:$AM, 10, FALSE), 1)</f>
        <v>6.7969091606386881E-2</v>
      </c>
      <c r="K15" s="7">
        <f>$B15 * IFERROR(VLOOKUP("transport|SO2|Work loss days", US_national_yearly!$D:$AM, 19, FALSE) / VLOOKUP("transport|SO2|Work loss days", US_national_yearly!$D:$AM, 10, FALSE), 1)</f>
        <v>6.8376236032695839E-2</v>
      </c>
      <c r="L15" s="7">
        <f>$B15 * IFERROR(VLOOKUP("transport|SO2|Work loss days", US_national_yearly!$D:$AM, 20, FALSE) / VLOOKUP("transport|SO2|Work loss days", US_national_yearly!$D:$AM, 10, FALSE), 1)</f>
        <v>6.8783380459004811E-2</v>
      </c>
      <c r="M15" s="7">
        <f>$B15 * IFERROR(VLOOKUP("transport|SO2|Work loss days", US_national_yearly!$D:$AM, 21, FALSE) / VLOOKUP("transport|SO2|Work loss days", US_national_yearly!$D:$AM, 10, FALSE), 1)</f>
        <v>6.919052488531377E-2</v>
      </c>
      <c r="N15" s="7">
        <f>$B15 * IFERROR(VLOOKUP("transport|SO2|Work loss days", US_national_yearly!$D:$AM, 22, FALSE) / VLOOKUP("transport|SO2|Work loss days", US_national_yearly!$D:$AM, 10, FALSE), 1)</f>
        <v>6.9701018017915548E-2</v>
      </c>
      <c r="O15" s="7">
        <f>$B15 * IFERROR(VLOOKUP("transport|SO2|Work loss days", US_national_yearly!$D:$AM, 23, FALSE) / VLOOKUP("transport|SO2|Work loss days", US_national_yearly!$D:$AM, 10, FALSE), 1)</f>
        <v>7.0211511150517311E-2</v>
      </c>
      <c r="P15" s="7">
        <f>$B15 * IFERROR(VLOOKUP("transport|SO2|Work loss days", US_national_yearly!$D:$AM, 24, FALSE) / VLOOKUP("transport|SO2|Work loss days", US_national_yearly!$D:$AM, 10, FALSE), 1)</f>
        <v>7.0722004283119061E-2</v>
      </c>
      <c r="Q15" s="7">
        <f>$B15 * IFERROR(VLOOKUP("transport|SO2|Work loss days", US_national_yearly!$D:$AM, 25, FALSE) / VLOOKUP("transport|SO2|Work loss days", US_national_yearly!$D:$AM, 10, FALSE), 1)</f>
        <v>7.1232497415720838E-2</v>
      </c>
      <c r="R15" s="7">
        <f>$B15 * IFERROR(VLOOKUP("transport|SO2|Work loss days", US_national_yearly!$D:$AM, 26, FALSE) / VLOOKUP("transport|SO2|Work loss days", US_national_yearly!$D:$AM, 10, FALSE), 1)</f>
        <v>7.1742990548322602E-2</v>
      </c>
      <c r="S15" s="7">
        <f>$B15 * IFERROR(VLOOKUP("transport|SO2|Work loss days", US_national_yearly!$D:$AM, 27, FALSE) / VLOOKUP("transport|SO2|Work loss days", US_national_yearly!$D:$AM, 10, FALSE), 1)</f>
        <v>7.2313464940930716E-2</v>
      </c>
      <c r="T15" s="7">
        <f>$B15 * IFERROR(VLOOKUP("transport|SO2|Work loss days", US_national_yearly!$D:$AM, 28, FALSE) / VLOOKUP("transport|SO2|Work loss days", US_national_yearly!$D:$AM, 10, FALSE), 1)</f>
        <v>7.2883939333538844E-2</v>
      </c>
      <c r="U15" s="7">
        <f>$B15 * IFERROR(VLOOKUP("transport|SO2|Work loss days", US_national_yearly!$D:$AM, 29, FALSE) / VLOOKUP("transport|SO2|Work loss days", US_national_yearly!$D:$AM, 10, FALSE), 1)</f>
        <v>7.3454413726146958E-2</v>
      </c>
      <c r="V15" s="7">
        <f>$B15 * IFERROR(VLOOKUP("transport|SO2|Work loss days", US_national_yearly!$D:$AM, 30, FALSE) / VLOOKUP("transport|SO2|Work loss days", US_national_yearly!$D:$AM, 10, FALSE), 1)</f>
        <v>7.4024888118755072E-2</v>
      </c>
      <c r="W15" s="7">
        <f>$B15 * IFERROR(VLOOKUP("transport|SO2|Work loss days", US_national_yearly!$D:$AM, 31, FALSE) / VLOOKUP("transport|SO2|Work loss days", US_national_yearly!$D:$AM, 10, FALSE), 1)</f>
        <v>7.45953625113632E-2</v>
      </c>
      <c r="X15" s="7">
        <f>$B15 * IFERROR(VLOOKUP("transport|SO2|Work loss days", US_national_yearly!$D:$AM, 32, FALSE) / VLOOKUP("transport|SO2|Work loss days", US_national_yearly!$D:$AM, 10, FALSE), 1)</f>
        <v>7.5107569883665848E-2</v>
      </c>
      <c r="Y15" s="7">
        <f>$B15 * IFERROR(VLOOKUP("transport|SO2|Work loss days", US_national_yearly!$D:$AM, 33, FALSE) / VLOOKUP("transport|SO2|Work loss days", US_national_yearly!$D:$AM, 10, FALSE), 1)</f>
        <v>7.5619777255968509E-2</v>
      </c>
      <c r="Z15" s="7">
        <f>$B15 * IFERROR(VLOOKUP("transport|SO2|Work loss days", US_national_yearly!$D:$AM, 34, FALSE) / VLOOKUP("transport|SO2|Work loss days", US_national_yearly!$D:$AM, 10, FALSE), 1)</f>
        <v>7.6131984628271171E-2</v>
      </c>
      <c r="AA15" s="7">
        <f>$B15 * IFERROR(VLOOKUP("transport|SO2|Work loss days", US_national_yearly!$D:$AM, 35, FALSE) / VLOOKUP("transport|SO2|Work loss days", US_national_yearly!$D:$AM, 10, FALSE), 1)</f>
        <v>7.6644192000573833E-2</v>
      </c>
      <c r="AB15" s="7">
        <f>$B15 * IFERROR(VLOOKUP("transport|SO2|Work loss days", US_national_yearly!$D:$AM, 36, FALSE) / VLOOKUP("transport|SO2|Work loss days", US_national_yearly!$D:$AM, 10, FALSE), 1)</f>
        <v>7.7156399372876494E-2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1.5887555439872555E-4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1.6368055956524996E-4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1.6848556473177435E-4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1.7329056989829876E-4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1.7809557506482318E-4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1.8269831312977565E-4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1.8730105119472816E-4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1.9124469949990009E-4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1.9518834780507204E-4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1.99131996110244E-4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2.0307564441541593E-4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2.0701929272058783E-4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2.0966852605891695E-4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2.1231775939724602E-4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2.1496699273557509E-4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2.1761622607390416E-4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2.2026545941223328E-4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2.2165876752260448E-4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2.2305207563297572E-4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2.2444538374334695E-4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2.2583869185371818E-4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2.2723199996408942E-4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2.2816737375782876E-4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2.2910274755156814E-4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2.3003812134530748E-4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2.3097349513904688E-4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2.319088689327862E-4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2.6271864548174512E-3</v>
      </c>
      <c r="C2" s="7">
        <f>$B2 * IFERROR(VLOOKUP("electricity|PM25|Premature mortality", US_national_yearly!$D:$AM, 11, FALSE) / VLOOKUP("electricity|PM25|Premature mortality", US_national_yearly!$D:$AM, 10, FALSE), 1)</f>
        <v>2.6597274108282869E-3</v>
      </c>
      <c r="D2" s="7">
        <f>$B2 * IFERROR(VLOOKUP("electricity|PM25|Premature mortality", US_national_yearly!$D:$AM, 12, FALSE) / VLOOKUP("electricity|PM25|Premature mortality", US_national_yearly!$D:$AM, 10, FALSE), 1)</f>
        <v>2.6922683668391231E-3</v>
      </c>
      <c r="E2" s="7">
        <f>$B2 * IFERROR(VLOOKUP("electricity|PM25|Premature mortality", US_national_yearly!$D:$AM, 13, FALSE) / VLOOKUP("electricity|PM25|Premature mortality", US_national_yearly!$D:$AM, 10, FALSE), 1)</f>
        <v>2.7248093228499589E-3</v>
      </c>
      <c r="F2" s="7">
        <f>$B2 * IFERROR(VLOOKUP("electricity|PM25|Premature mortality", US_national_yearly!$D:$AM, 14, FALSE) / VLOOKUP("electricity|PM25|Premature mortality", US_national_yearly!$D:$AM, 10, FALSE), 1)</f>
        <v>2.7573502788607956E-3</v>
      </c>
      <c r="G2" s="7">
        <f>$B2 * IFERROR(VLOOKUP("electricity|PM25|Premature mortality", US_national_yearly!$D:$AM, 15, FALSE) / VLOOKUP("electricity|PM25|Premature mortality", US_national_yearly!$D:$AM, 10, FALSE), 1)</f>
        <v>2.8212624470486257E-3</v>
      </c>
      <c r="H2" s="7">
        <f>$B2 * IFERROR(VLOOKUP("electricity|PM25|Premature mortality", US_national_yearly!$D:$AM, 16, FALSE) / VLOOKUP("electricity|PM25|Premature mortality", US_national_yearly!$D:$AM, 10, FALSE), 1)</f>
        <v>2.8851746152364563E-3</v>
      </c>
      <c r="I2" s="7">
        <f>$B2 * IFERROR(VLOOKUP("electricity|PM25|Premature mortality", US_national_yearly!$D:$AM, 17, FALSE) / VLOOKUP("electricity|PM25|Premature mortality", US_national_yearly!$D:$AM, 10, FALSE), 1)</f>
        <v>2.9281177439356406E-3</v>
      </c>
      <c r="J2" s="7">
        <f>$B2 * IFERROR(VLOOKUP("electricity|PM25|Premature mortality", US_national_yearly!$D:$AM, 18, FALSE) / VLOOKUP("electricity|PM25|Premature mortality", US_national_yearly!$D:$AM, 10, FALSE), 1)</f>
        <v>2.9710608726348248E-3</v>
      </c>
      <c r="K2" s="7">
        <f>$B2 * IFERROR(VLOOKUP("electricity|PM25|Premature mortality", US_national_yearly!$D:$AM, 19, FALSE) / VLOOKUP("electricity|PM25|Premature mortality", US_national_yearly!$D:$AM, 10, FALSE), 1)</f>
        <v>3.0140040013340091E-3</v>
      </c>
      <c r="L2" s="7">
        <f>$B2 * IFERROR(VLOOKUP("electricity|PM25|Premature mortality", US_national_yearly!$D:$AM, 20, FALSE) / VLOOKUP("electricity|PM25|Premature mortality", US_national_yearly!$D:$AM, 10, FALSE), 1)</f>
        <v>3.0569471300331934E-3</v>
      </c>
      <c r="M2" s="7">
        <f>$B2 * IFERROR(VLOOKUP("electricity|PM25|Premature mortality", US_national_yearly!$D:$AM, 21, FALSE) / VLOOKUP("electricity|PM25|Premature mortality", US_national_yearly!$D:$AM, 10, FALSE), 1)</f>
        <v>3.0998902587323776E-3</v>
      </c>
      <c r="N2" s="7">
        <f>$B2 * IFERROR(VLOOKUP("electricity|PM25|Premature mortality", US_national_yearly!$D:$AM, 22, FALSE) / VLOOKUP("electricity|PM25|Premature mortality", US_national_yearly!$D:$AM, 10, FALSE), 1)</f>
        <v>3.1341207941763855E-3</v>
      </c>
      <c r="O2" s="7">
        <f>$B2 * IFERROR(VLOOKUP("electricity|PM25|Premature mortality", US_national_yearly!$D:$AM, 23, FALSE) / VLOOKUP("electricity|PM25|Premature mortality", US_national_yearly!$D:$AM, 10, FALSE), 1)</f>
        <v>3.1683513296203933E-3</v>
      </c>
      <c r="P2" s="7">
        <f>$B2 * IFERROR(VLOOKUP("electricity|PM25|Premature mortality", US_national_yearly!$D:$AM, 24, FALSE) / VLOOKUP("electricity|PM25|Premature mortality", US_national_yearly!$D:$AM, 10, FALSE), 1)</f>
        <v>3.2025818650644015E-3</v>
      </c>
      <c r="Q2" s="7">
        <f>$B2 * IFERROR(VLOOKUP("electricity|PM25|Premature mortality", US_national_yearly!$D:$AM, 25, FALSE) / VLOOKUP("electricity|PM25|Premature mortality", US_national_yearly!$D:$AM, 10, FALSE), 1)</f>
        <v>3.2368124005084089E-3</v>
      </c>
      <c r="R2" s="7">
        <f>$B2 * IFERROR(VLOOKUP("electricity|PM25|Premature mortality", US_national_yearly!$D:$AM, 26, FALSE) / VLOOKUP("electricity|PM25|Premature mortality", US_national_yearly!$D:$AM, 10, FALSE), 1)</f>
        <v>3.2710429359524172E-3</v>
      </c>
      <c r="S2" s="7">
        <f>$B2 * IFERROR(VLOOKUP("electricity|PM25|Premature mortality", US_national_yearly!$D:$AM, 27, FALSE) / VLOOKUP("electricity|PM25|Premature mortality", US_national_yearly!$D:$AM, 10, FALSE), 1)</f>
        <v>3.290629831800528E-3</v>
      </c>
      <c r="T2" s="7">
        <f>$B2 * IFERROR(VLOOKUP("electricity|PM25|Premature mortality", US_national_yearly!$D:$AM, 28, FALSE) / VLOOKUP("electricity|PM25|Premature mortality", US_national_yearly!$D:$AM, 10, FALSE), 1)</f>
        <v>3.3102167276486379E-3</v>
      </c>
      <c r="U2" s="7">
        <f>$B2 * IFERROR(VLOOKUP("electricity|PM25|Premature mortality", US_national_yearly!$D:$AM, 29, FALSE) / VLOOKUP("electricity|PM25|Premature mortality", US_national_yearly!$D:$AM, 10, FALSE), 1)</f>
        <v>3.3298036234967487E-3</v>
      </c>
      <c r="V2" s="7">
        <f>$B2 * IFERROR(VLOOKUP("electricity|PM25|Premature mortality", US_national_yearly!$D:$AM, 30, FALSE) / VLOOKUP("electricity|PM25|Premature mortality", US_national_yearly!$D:$AM, 10, FALSE), 1)</f>
        <v>3.3493905193448586E-3</v>
      </c>
      <c r="W2" s="7">
        <f>$B2 * IFERROR(VLOOKUP("electricity|PM25|Premature mortality", US_national_yearly!$D:$AM, 31, FALSE) / VLOOKUP("electricity|PM25|Premature mortality", US_national_yearly!$D:$AM, 10, FALSE), 1)</f>
        <v>3.3689774151929694E-3</v>
      </c>
      <c r="X2" s="7">
        <f>$B2 * IFERROR(VLOOKUP("electricity|PM25|Premature mortality", US_national_yearly!$D:$AM, 32, FALSE) / VLOOKUP("electricity|PM25|Premature mortality", US_national_yearly!$D:$AM, 10, FALSE), 1)</f>
        <v>3.3744185282186829E-3</v>
      </c>
      <c r="Y2" s="7">
        <f>$B2 * IFERROR(VLOOKUP("electricity|PM25|Premature mortality", US_national_yearly!$D:$AM, 33, FALSE) / VLOOKUP("electricity|PM25|Premature mortality", US_national_yearly!$D:$AM, 10, FALSE), 1)</f>
        <v>3.3798596412443964E-3</v>
      </c>
      <c r="Z2" s="7">
        <f>$B2 * IFERROR(VLOOKUP("electricity|PM25|Premature mortality", US_national_yearly!$D:$AM, 34, FALSE) / VLOOKUP("electricity|PM25|Premature mortality", US_national_yearly!$D:$AM, 10, FALSE), 1)</f>
        <v>3.3853007542701099E-3</v>
      </c>
      <c r="AA2" s="7">
        <f>$B2 * IFERROR(VLOOKUP("electricity|PM25|Premature mortality", US_national_yearly!$D:$AM, 35, FALSE) / VLOOKUP("electricity|PM25|Premature mortality", US_national_yearly!$D:$AM, 10, FALSE), 1)</f>
        <v>3.3907418672958242E-3</v>
      </c>
      <c r="AB2" s="7">
        <f>$B2 * IFERROR(VLOOKUP("electricity|PM25|Premature mortality", US_national_yearly!$D:$AM, 36, FALSE) / VLOOKUP("electricity|PM25|Premature mortality", US_national_yearly!$D:$AM, 10, FALSE), 1)</f>
        <v>3.3961829803215377E-3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6.9650140626836367E-6</v>
      </c>
      <c r="C3" s="7">
        <f>$B3 * IFERROR(VLOOKUP("electricity|PM25|Infant mortality", US_national_yearly!$D:$AM, 11, FALSE) / VLOOKUP("electricity|PM25|Infant mortality", US_national_yearly!$D:$AM, 10, FALSE), 1)</f>
        <v>6.9043279126995863E-6</v>
      </c>
      <c r="D3" s="7">
        <f>$B3 * IFERROR(VLOOKUP("electricity|PM25|Infant mortality", US_national_yearly!$D:$AM, 12, FALSE) / VLOOKUP("electricity|PM25|Infant mortality", US_national_yearly!$D:$AM, 10, FALSE), 1)</f>
        <v>6.8436417627155375E-6</v>
      </c>
      <c r="E3" s="7">
        <f>$B3 * IFERROR(VLOOKUP("electricity|PM25|Infant mortality", US_national_yearly!$D:$AM, 13, FALSE) / VLOOKUP("electricity|PM25|Infant mortality", US_national_yearly!$D:$AM, 10, FALSE), 1)</f>
        <v>6.7829556127314871E-6</v>
      </c>
      <c r="F3" s="7">
        <f>$B3 * IFERROR(VLOOKUP("electricity|PM25|Infant mortality", US_national_yearly!$D:$AM, 14, FALSE) / VLOOKUP("electricity|PM25|Infant mortality", US_national_yearly!$D:$AM, 10, FALSE), 1)</f>
        <v>6.7222694627474367E-6</v>
      </c>
      <c r="G3" s="7">
        <f>$B3 * IFERROR(VLOOKUP("electricity|PM25|Infant mortality", US_national_yearly!$D:$AM, 15, FALSE) / VLOOKUP("electricity|PM25|Infant mortality", US_national_yearly!$D:$AM, 10, FALSE), 1)</f>
        <v>4.4579995852051344E-6</v>
      </c>
      <c r="H3" s="7">
        <f>$B3 * IFERROR(VLOOKUP("electricity|PM25|Infant mortality", US_national_yearly!$D:$AM, 16, FALSE) / VLOOKUP("electricity|PM25|Infant mortality", US_national_yearly!$D:$AM, 10, FALSE), 1)</f>
        <v>2.1937297076628322E-6</v>
      </c>
      <c r="I3" s="7">
        <f>$B3 * IFERROR(VLOOKUP("electricity|PM25|Infant mortality", US_national_yearly!$D:$AM, 17, FALSE) / VLOOKUP("electricity|PM25|Infant mortality", US_national_yearly!$D:$AM, 10, FALSE), 1)</f>
        <v>2.1782409707063936E-6</v>
      </c>
      <c r="J3" s="7">
        <f>$B3 * IFERROR(VLOOKUP("electricity|PM25|Infant mortality", US_national_yearly!$D:$AM, 18, FALSE) / VLOOKUP("electricity|PM25|Infant mortality", US_national_yearly!$D:$AM, 10, FALSE), 1)</f>
        <v>2.1627522337499563E-6</v>
      </c>
      <c r="K3" s="7">
        <f>$B3 * IFERROR(VLOOKUP("electricity|PM25|Infant mortality", US_national_yearly!$D:$AM, 19, FALSE) / VLOOKUP("electricity|PM25|Infant mortality", US_national_yearly!$D:$AM, 10, FALSE), 1)</f>
        <v>2.1472634967935177E-6</v>
      </c>
      <c r="L3" s="7">
        <f>$B3 * IFERROR(VLOOKUP("electricity|PM25|Infant mortality", US_national_yearly!$D:$AM, 20, FALSE) / VLOOKUP("electricity|PM25|Infant mortality", US_national_yearly!$D:$AM, 10, FALSE), 1)</f>
        <v>2.1317747598370796E-6</v>
      </c>
      <c r="M3" s="7">
        <f>$B3 * IFERROR(VLOOKUP("electricity|PM25|Infant mortality", US_national_yearly!$D:$AM, 21, FALSE) / VLOOKUP("electricity|PM25|Infant mortality", US_national_yearly!$D:$AM, 10, FALSE), 1)</f>
        <v>2.1162860228806418E-6</v>
      </c>
      <c r="N3" s="7">
        <f>$B3 * IFERROR(VLOOKUP("electricity|PM25|Infant mortality", US_national_yearly!$D:$AM, 22, FALSE) / VLOOKUP("electricity|PM25|Infant mortality", US_national_yearly!$D:$AM, 10, FALSE), 1)</f>
        <v>2.1063247086137634E-6</v>
      </c>
      <c r="O3" s="7">
        <f>$B3 * IFERROR(VLOOKUP("electricity|PM25|Infant mortality", US_national_yearly!$D:$AM, 23, FALSE) / VLOOKUP("electricity|PM25|Infant mortality", US_national_yearly!$D:$AM, 10, FALSE), 1)</f>
        <v>2.0963633943468853E-6</v>
      </c>
      <c r="P3" s="7">
        <f>$B3 * IFERROR(VLOOKUP("electricity|PM25|Infant mortality", US_national_yearly!$D:$AM, 24, FALSE) / VLOOKUP("electricity|PM25|Infant mortality", US_national_yearly!$D:$AM, 10, FALSE), 1)</f>
        <v>2.0864020800800065E-6</v>
      </c>
      <c r="Q3" s="7">
        <f>$B3 * IFERROR(VLOOKUP("electricity|PM25|Infant mortality", US_national_yearly!$D:$AM, 25, FALSE) / VLOOKUP("electricity|PM25|Infant mortality", US_national_yearly!$D:$AM, 10, FALSE), 1)</f>
        <v>2.0764407658131284E-6</v>
      </c>
      <c r="R3" s="7">
        <f>$B3 * IFERROR(VLOOKUP("electricity|PM25|Infant mortality", US_national_yearly!$D:$AM, 26, FALSE) / VLOOKUP("electricity|PM25|Infant mortality", US_national_yearly!$D:$AM, 10, FALSE), 1)</f>
        <v>2.0664794515462496E-6</v>
      </c>
      <c r="S3" s="7">
        <f>$B3 * IFERROR(VLOOKUP("electricity|PM25|Infant mortality", US_national_yearly!$D:$AM, 27, FALSE) / VLOOKUP("electricity|PM25|Infant mortality", US_national_yearly!$D:$AM, 10, FALSE), 1)</f>
        <v>2.0545455744538495E-6</v>
      </c>
      <c r="T3" s="7">
        <f>$B3 * IFERROR(VLOOKUP("electricity|PM25|Infant mortality", US_national_yearly!$D:$AM, 28, FALSE) / VLOOKUP("electricity|PM25|Infant mortality", US_national_yearly!$D:$AM, 10, FALSE), 1)</f>
        <v>2.042611697361449E-6</v>
      </c>
      <c r="U3" s="7">
        <f>$B3 * IFERROR(VLOOKUP("electricity|PM25|Infant mortality", US_national_yearly!$D:$AM, 29, FALSE) / VLOOKUP("electricity|PM25|Infant mortality", US_national_yearly!$D:$AM, 10, FALSE), 1)</f>
        <v>2.0306778202690493E-6</v>
      </c>
      <c r="V3" s="7">
        <f>$B3 * IFERROR(VLOOKUP("electricity|PM25|Infant mortality", US_national_yearly!$D:$AM, 30, FALSE) / VLOOKUP("electricity|PM25|Infant mortality", US_national_yearly!$D:$AM, 10, FALSE), 1)</f>
        <v>2.0187439431766488E-6</v>
      </c>
      <c r="W3" s="7">
        <f>$B3 * IFERROR(VLOOKUP("electricity|PM25|Infant mortality", US_national_yearly!$D:$AM, 31, FALSE) / VLOOKUP("electricity|PM25|Infant mortality", US_national_yearly!$D:$AM, 10, FALSE), 1)</f>
        <v>2.0068100660842487E-6</v>
      </c>
      <c r="X3" s="7">
        <f>$B3 * IFERROR(VLOOKUP("electricity|PM25|Infant mortality", US_national_yearly!$D:$AM, 32, FALSE) / VLOOKUP("electricity|PM25|Infant mortality", US_national_yearly!$D:$AM, 10, FALSE), 1)</f>
        <v>1.9944778941219141E-6</v>
      </c>
      <c r="Y3" s="7">
        <f>$B3 * IFERROR(VLOOKUP("electricity|PM25|Infant mortality", US_national_yearly!$D:$AM, 33, FALSE) / VLOOKUP("electricity|PM25|Infant mortality", US_national_yearly!$D:$AM, 10, FALSE), 1)</f>
        <v>1.9821457221595798E-6</v>
      </c>
      <c r="Z3" s="7">
        <f>$B3 * IFERROR(VLOOKUP("electricity|PM25|Infant mortality", US_national_yearly!$D:$AM, 34, FALSE) / VLOOKUP("electricity|PM25|Infant mortality", US_national_yearly!$D:$AM, 10, FALSE), 1)</f>
        <v>1.9698135501972452E-6</v>
      </c>
      <c r="AA3" s="7">
        <f>$B3 * IFERROR(VLOOKUP("electricity|PM25|Infant mortality", US_national_yearly!$D:$AM, 35, FALSE) / VLOOKUP("electricity|PM25|Infant mortality", US_national_yearly!$D:$AM, 10, FALSE), 1)</f>
        <v>1.9574813782349109E-6</v>
      </c>
      <c r="AB3" s="7">
        <f>$B3 * IFERROR(VLOOKUP("electricity|PM25|Infant mortality", US_national_yearly!$D:$AM, 36, FALSE) / VLOOKUP("electricity|PM25|Infant mortality", US_national_yearly!$D:$AM, 10, FALSE), 1)</f>
        <v>1.9451492062725767E-6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5.7535411961088809E-3</v>
      </c>
      <c r="C6" s="7">
        <f>$B6 * IFERROR(VLOOKUP("electricity|PM25|Asthma symptoms cough", US_national_yearly!$D:$AM, 11, FALSE) / VLOOKUP("electricity|PM25|Asthma symptoms cough", US_national_yearly!$D:$AM, 10, FALSE), 1)</f>
        <v>5.7535411961088809E-3</v>
      </c>
      <c r="D6" s="7">
        <f>$B6 * IFERROR(VLOOKUP("electricity|PM25|Asthma symptoms cough", US_national_yearly!$D:$AM, 12, FALSE) / VLOOKUP("electricity|PM25|Asthma symptoms cough", US_national_yearly!$D:$AM, 10, FALSE), 1)</f>
        <v>5.7535411961088809E-3</v>
      </c>
      <c r="E6" s="7">
        <f>$B6 * IFERROR(VLOOKUP("electricity|PM25|Asthma symptoms cough", US_national_yearly!$D:$AM, 13, FALSE) / VLOOKUP("electricity|PM25|Asthma symptoms cough", US_national_yearly!$D:$AM, 10, FALSE), 1)</f>
        <v>5.7535411961088809E-3</v>
      </c>
      <c r="F6" s="7">
        <f>$B6 * IFERROR(VLOOKUP("electricity|PM25|Asthma symptoms cough", US_national_yearly!$D:$AM, 14, FALSE) / VLOOKUP("electricity|PM25|Asthma symptoms cough", US_national_yearly!$D:$AM, 10, FALSE), 1)</f>
        <v>5.7535411961088809E-3</v>
      </c>
      <c r="G6" s="7">
        <f>$B6 * IFERROR(VLOOKUP("electricity|PM25|Asthma symptoms cough", US_national_yearly!$D:$AM, 15, FALSE) / VLOOKUP("electricity|PM25|Asthma symptoms cough", US_national_yearly!$D:$AM, 10, FALSE), 1)</f>
        <v>5.7535411961088809E-3</v>
      </c>
      <c r="H6" s="7">
        <f>$B6 * IFERROR(VLOOKUP("electricity|PM25|Asthma symptoms cough", US_national_yearly!$D:$AM, 16, FALSE) / VLOOKUP("electricity|PM25|Asthma symptoms cough", US_national_yearly!$D:$AM, 10, FALSE), 1)</f>
        <v>5.7535411961088809E-3</v>
      </c>
      <c r="I6" s="7">
        <f>$B6 * IFERROR(VLOOKUP("electricity|PM25|Asthma symptoms cough", US_national_yearly!$D:$AM, 17, FALSE) / VLOOKUP("electricity|PM25|Asthma symptoms cough", US_national_yearly!$D:$AM, 10, FALSE), 1)</f>
        <v>5.7535411961088809E-3</v>
      </c>
      <c r="J6" s="7">
        <f>$B6 * IFERROR(VLOOKUP("electricity|PM25|Asthma symptoms cough", US_national_yearly!$D:$AM, 18, FALSE) / VLOOKUP("electricity|PM25|Asthma symptoms cough", US_national_yearly!$D:$AM, 10, FALSE), 1)</f>
        <v>5.7535411961088809E-3</v>
      </c>
      <c r="K6" s="7">
        <f>$B6 * IFERROR(VLOOKUP("electricity|PM25|Asthma symptoms cough", US_national_yearly!$D:$AM, 19, FALSE) / VLOOKUP("electricity|PM25|Asthma symptoms cough", US_national_yearly!$D:$AM, 10, FALSE), 1)</f>
        <v>5.7535411961088809E-3</v>
      </c>
      <c r="L6" s="7">
        <f>$B6 * IFERROR(VLOOKUP("electricity|PM25|Asthma symptoms cough", US_national_yearly!$D:$AM, 20, FALSE) / VLOOKUP("electricity|PM25|Asthma symptoms cough", US_national_yearly!$D:$AM, 10, FALSE), 1)</f>
        <v>5.7535411961088809E-3</v>
      </c>
      <c r="M6" s="7">
        <f>$B6 * IFERROR(VLOOKUP("electricity|PM25|Asthma symptoms cough", US_national_yearly!$D:$AM, 21, FALSE) / VLOOKUP("electricity|PM25|Asthma symptoms cough", US_national_yearly!$D:$AM, 10, FALSE), 1)</f>
        <v>5.7535411961088809E-3</v>
      </c>
      <c r="N6" s="7">
        <f>$B6 * IFERROR(VLOOKUP("electricity|PM25|Asthma symptoms cough", US_national_yearly!$D:$AM, 22, FALSE) / VLOOKUP("electricity|PM25|Asthma symptoms cough", US_national_yearly!$D:$AM, 10, FALSE), 1)</f>
        <v>5.7535411961088809E-3</v>
      </c>
      <c r="O6" s="7">
        <f>$B6 * IFERROR(VLOOKUP("electricity|PM25|Asthma symptoms cough", US_national_yearly!$D:$AM, 23, FALSE) / VLOOKUP("electricity|PM25|Asthma symptoms cough", US_national_yearly!$D:$AM, 10, FALSE), 1)</f>
        <v>5.7535411961088809E-3</v>
      </c>
      <c r="P6" s="7">
        <f>$B6 * IFERROR(VLOOKUP("electricity|PM25|Asthma symptoms cough", US_national_yearly!$D:$AM, 24, FALSE) / VLOOKUP("electricity|PM25|Asthma symptoms cough", US_national_yearly!$D:$AM, 10, FALSE), 1)</f>
        <v>5.7535411961088809E-3</v>
      </c>
      <c r="Q6" s="7">
        <f>$B6 * IFERROR(VLOOKUP("electricity|PM25|Asthma symptoms cough", US_national_yearly!$D:$AM, 25, FALSE) / VLOOKUP("electricity|PM25|Asthma symptoms cough", US_national_yearly!$D:$AM, 10, FALSE), 1)</f>
        <v>5.7535411961088809E-3</v>
      </c>
      <c r="R6" s="7">
        <f>$B6 * IFERROR(VLOOKUP("electricity|PM25|Asthma symptoms cough", US_national_yearly!$D:$AM, 26, FALSE) / VLOOKUP("electricity|PM25|Asthma symptoms cough", US_national_yearly!$D:$AM, 10, FALSE), 1)</f>
        <v>5.7535411961088809E-3</v>
      </c>
      <c r="S6" s="7">
        <f>$B6 * IFERROR(VLOOKUP("electricity|PM25|Asthma symptoms cough", US_national_yearly!$D:$AM, 27, FALSE) / VLOOKUP("electricity|PM25|Asthma symptoms cough", US_national_yearly!$D:$AM, 10, FALSE), 1)</f>
        <v>5.7535411961088809E-3</v>
      </c>
      <c r="T6" s="7">
        <f>$B6 * IFERROR(VLOOKUP("electricity|PM25|Asthma symptoms cough", US_national_yearly!$D:$AM, 28, FALSE) / VLOOKUP("electricity|PM25|Asthma symptoms cough", US_national_yearly!$D:$AM, 10, FALSE), 1)</f>
        <v>5.7535411961088809E-3</v>
      </c>
      <c r="U6" s="7">
        <f>$B6 * IFERROR(VLOOKUP("electricity|PM25|Asthma symptoms cough", US_national_yearly!$D:$AM, 29, FALSE) / VLOOKUP("electricity|PM25|Asthma symptoms cough", US_national_yearly!$D:$AM, 10, FALSE), 1)</f>
        <v>5.7535411961088809E-3</v>
      </c>
      <c r="V6" s="7">
        <f>$B6 * IFERROR(VLOOKUP("electricity|PM25|Asthma symptoms cough", US_national_yearly!$D:$AM, 30, FALSE) / VLOOKUP("electricity|PM25|Asthma symptoms cough", US_national_yearly!$D:$AM, 10, FALSE), 1)</f>
        <v>5.7535411961088809E-3</v>
      </c>
      <c r="W6" s="7">
        <f>$B6 * IFERROR(VLOOKUP("electricity|PM25|Asthma symptoms cough", US_national_yearly!$D:$AM, 31, FALSE) / VLOOKUP("electricity|PM25|Asthma symptoms cough", US_national_yearly!$D:$AM, 10, FALSE), 1)</f>
        <v>5.7535411961088809E-3</v>
      </c>
      <c r="X6" s="7">
        <f>$B6 * IFERROR(VLOOKUP("electricity|PM25|Asthma symptoms cough", US_national_yearly!$D:$AM, 32, FALSE) / VLOOKUP("electricity|PM25|Asthma symptoms cough", US_national_yearly!$D:$AM, 10, FALSE), 1)</f>
        <v>5.7535411961088809E-3</v>
      </c>
      <c r="Y6" s="7">
        <f>$B6 * IFERROR(VLOOKUP("electricity|PM25|Asthma symptoms cough", US_national_yearly!$D:$AM, 33, FALSE) / VLOOKUP("electricity|PM25|Asthma symptoms cough", US_national_yearly!$D:$AM, 10, FALSE), 1)</f>
        <v>5.7535411961088809E-3</v>
      </c>
      <c r="Z6" s="7">
        <f>$B6 * IFERROR(VLOOKUP("electricity|PM25|Asthma symptoms cough", US_national_yearly!$D:$AM, 34, FALSE) / VLOOKUP("electricity|PM25|Asthma symptoms cough", US_national_yearly!$D:$AM, 10, FALSE), 1)</f>
        <v>5.7535411961088809E-3</v>
      </c>
      <c r="AA6" s="7">
        <f>$B6 * IFERROR(VLOOKUP("electricity|PM25|Asthma symptoms cough", US_national_yearly!$D:$AM, 35, FALSE) / VLOOKUP("electricity|PM25|Asthma symptoms cough", US_national_yearly!$D:$AM, 10, FALSE), 1)</f>
        <v>5.7535411961088809E-3</v>
      </c>
      <c r="AB6" s="7">
        <f>$B6 * IFERROR(VLOOKUP("electricity|PM25|Asthma symptoms cough", US_national_yearly!$D:$AM, 36, FALSE) / VLOOKUP("electricity|PM25|Asthma symptoms cough", US_national_yearly!$D:$AM, 10, FALSE), 1)</f>
        <v>5.7535411961088809E-3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7.7479807067564058E-3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7.7479807067564058E-3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7.7479807067564058E-3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7.7479807067564058E-3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7.7479807067564058E-3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7.7479807067564058E-3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7.7479807067564058E-3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7.7479807067564058E-3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7.7479807067564058E-3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7.7479807067564058E-3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7.7479807067564058E-3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7.7479807067564058E-3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7.7479807067564058E-3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7.7479807067564058E-3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7.7479807067564058E-3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7.7479807067564058E-3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7.7479807067564058E-3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7.7479807067564058E-3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7.7479807067564058E-3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7.7479807067564058E-3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7.7479807067564058E-3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7.7479807067564058E-3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7.7479807067564058E-3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7.7479807067564058E-3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7.7479807067564058E-3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7.7479807067564058E-3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7.7479807067564058E-3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1.1837592023832151E-2</v>
      </c>
      <c r="C8" s="7">
        <f>$B8 * IFERROR(VLOOKUP("electricity|PM25|Asthma symptoms wheeze", US_national_yearly!$D:$AM, 11, FALSE) / VLOOKUP("electricity|PM25|Asthma symptoms wheeze", US_national_yearly!$D:$AM, 10, FALSE), 1)</f>
        <v>1.1837592023832151E-2</v>
      </c>
      <c r="D8" s="7">
        <f>$B8 * IFERROR(VLOOKUP("electricity|PM25|Asthma symptoms wheeze", US_national_yearly!$D:$AM, 12, FALSE) / VLOOKUP("electricity|PM25|Asthma symptoms wheeze", US_national_yearly!$D:$AM, 10, FALSE), 1)</f>
        <v>1.1837592023832151E-2</v>
      </c>
      <c r="E8" s="7">
        <f>$B8 * IFERROR(VLOOKUP("electricity|PM25|Asthma symptoms wheeze", US_national_yearly!$D:$AM, 13, FALSE) / VLOOKUP("electricity|PM25|Asthma symptoms wheeze", US_national_yearly!$D:$AM, 10, FALSE), 1)</f>
        <v>1.1837592023832151E-2</v>
      </c>
      <c r="F8" s="7">
        <f>$B8 * IFERROR(VLOOKUP("electricity|PM25|Asthma symptoms wheeze", US_national_yearly!$D:$AM, 14, FALSE) / VLOOKUP("electricity|PM25|Asthma symptoms wheeze", US_national_yearly!$D:$AM, 10, FALSE), 1)</f>
        <v>1.1837592023832151E-2</v>
      </c>
      <c r="G8" s="7">
        <f>$B8 * IFERROR(VLOOKUP("electricity|PM25|Asthma symptoms wheeze", US_national_yearly!$D:$AM, 15, FALSE) / VLOOKUP("electricity|PM25|Asthma symptoms wheeze", US_national_yearly!$D:$AM, 10, FALSE), 1)</f>
        <v>1.1837592023832151E-2</v>
      </c>
      <c r="H8" s="7">
        <f>$B8 * IFERROR(VLOOKUP("electricity|PM25|Asthma symptoms wheeze", US_national_yearly!$D:$AM, 16, FALSE) / VLOOKUP("electricity|PM25|Asthma symptoms wheeze", US_national_yearly!$D:$AM, 10, FALSE), 1)</f>
        <v>1.1837592023832151E-2</v>
      </c>
      <c r="I8" s="7">
        <f>$B8 * IFERROR(VLOOKUP("electricity|PM25|Asthma symptoms wheeze", US_national_yearly!$D:$AM, 17, FALSE) / VLOOKUP("electricity|PM25|Asthma symptoms wheeze", US_national_yearly!$D:$AM, 10, FALSE), 1)</f>
        <v>1.1837592023832151E-2</v>
      </c>
      <c r="J8" s="7">
        <f>$B8 * IFERROR(VLOOKUP("electricity|PM25|Asthma symptoms wheeze", US_national_yearly!$D:$AM, 18, FALSE) / VLOOKUP("electricity|PM25|Asthma symptoms wheeze", US_national_yearly!$D:$AM, 10, FALSE), 1)</f>
        <v>1.1837592023832151E-2</v>
      </c>
      <c r="K8" s="7">
        <f>$B8 * IFERROR(VLOOKUP("electricity|PM25|Asthma symptoms wheeze", US_national_yearly!$D:$AM, 19, FALSE) / VLOOKUP("electricity|PM25|Asthma symptoms wheeze", US_national_yearly!$D:$AM, 10, FALSE), 1)</f>
        <v>1.1837592023832151E-2</v>
      </c>
      <c r="L8" s="7">
        <f>$B8 * IFERROR(VLOOKUP("electricity|PM25|Asthma symptoms wheeze", US_national_yearly!$D:$AM, 20, FALSE) / VLOOKUP("electricity|PM25|Asthma symptoms wheeze", US_national_yearly!$D:$AM, 10, FALSE), 1)</f>
        <v>1.1837592023832151E-2</v>
      </c>
      <c r="M8" s="7">
        <f>$B8 * IFERROR(VLOOKUP("electricity|PM25|Asthma symptoms wheeze", US_national_yearly!$D:$AM, 21, FALSE) / VLOOKUP("electricity|PM25|Asthma symptoms wheeze", US_national_yearly!$D:$AM, 10, FALSE), 1)</f>
        <v>1.1837592023832151E-2</v>
      </c>
      <c r="N8" s="7">
        <f>$B8 * IFERROR(VLOOKUP("electricity|PM25|Asthma symptoms wheeze", US_national_yearly!$D:$AM, 22, FALSE) / VLOOKUP("electricity|PM25|Asthma symptoms wheeze", US_national_yearly!$D:$AM, 10, FALSE), 1)</f>
        <v>1.1837592023832151E-2</v>
      </c>
      <c r="O8" s="7">
        <f>$B8 * IFERROR(VLOOKUP("electricity|PM25|Asthma symptoms wheeze", US_national_yearly!$D:$AM, 23, FALSE) / VLOOKUP("electricity|PM25|Asthma symptoms wheeze", US_national_yearly!$D:$AM, 10, FALSE), 1)</f>
        <v>1.1837592023832151E-2</v>
      </c>
      <c r="P8" s="7">
        <f>$B8 * IFERROR(VLOOKUP("electricity|PM25|Asthma symptoms wheeze", US_national_yearly!$D:$AM, 24, FALSE) / VLOOKUP("electricity|PM25|Asthma symptoms wheeze", US_national_yearly!$D:$AM, 10, FALSE), 1)</f>
        <v>1.1837592023832151E-2</v>
      </c>
      <c r="Q8" s="7">
        <f>$B8 * IFERROR(VLOOKUP("electricity|PM25|Asthma symptoms wheeze", US_national_yearly!$D:$AM, 25, FALSE) / VLOOKUP("electricity|PM25|Asthma symptoms wheeze", US_national_yearly!$D:$AM, 10, FALSE), 1)</f>
        <v>1.1837592023832151E-2</v>
      </c>
      <c r="R8" s="7">
        <f>$B8 * IFERROR(VLOOKUP("electricity|PM25|Asthma symptoms wheeze", US_national_yearly!$D:$AM, 26, FALSE) / VLOOKUP("electricity|PM25|Asthma symptoms wheeze", US_national_yearly!$D:$AM, 10, FALSE), 1)</f>
        <v>1.1837592023832151E-2</v>
      </c>
      <c r="S8" s="7">
        <f>$B8 * IFERROR(VLOOKUP("electricity|PM25|Asthma symptoms wheeze", US_national_yearly!$D:$AM, 27, FALSE) / VLOOKUP("electricity|PM25|Asthma symptoms wheeze", US_national_yearly!$D:$AM, 10, FALSE), 1)</f>
        <v>1.1837592023832151E-2</v>
      </c>
      <c r="T8" s="7">
        <f>$B8 * IFERROR(VLOOKUP("electricity|PM25|Asthma symptoms wheeze", US_national_yearly!$D:$AM, 28, FALSE) / VLOOKUP("electricity|PM25|Asthma symptoms wheeze", US_national_yearly!$D:$AM, 10, FALSE), 1)</f>
        <v>1.1837592023832151E-2</v>
      </c>
      <c r="U8" s="7">
        <f>$B8 * IFERROR(VLOOKUP("electricity|PM25|Asthma symptoms wheeze", US_national_yearly!$D:$AM, 29, FALSE) / VLOOKUP("electricity|PM25|Asthma symptoms wheeze", US_national_yearly!$D:$AM, 10, FALSE), 1)</f>
        <v>1.1837592023832151E-2</v>
      </c>
      <c r="V8" s="7">
        <f>$B8 * IFERROR(VLOOKUP("electricity|PM25|Asthma symptoms wheeze", US_national_yearly!$D:$AM, 30, FALSE) / VLOOKUP("electricity|PM25|Asthma symptoms wheeze", US_national_yearly!$D:$AM, 10, FALSE), 1)</f>
        <v>1.1837592023832151E-2</v>
      </c>
      <c r="W8" s="7">
        <f>$B8 * IFERROR(VLOOKUP("electricity|PM25|Asthma symptoms wheeze", US_national_yearly!$D:$AM, 31, FALSE) / VLOOKUP("electricity|PM25|Asthma symptoms wheeze", US_national_yearly!$D:$AM, 10, FALSE), 1)</f>
        <v>1.1837592023832151E-2</v>
      </c>
      <c r="X8" s="7">
        <f>$B8 * IFERROR(VLOOKUP("electricity|PM25|Asthma symptoms wheeze", US_national_yearly!$D:$AM, 32, FALSE) / VLOOKUP("electricity|PM25|Asthma symptoms wheeze", US_national_yearly!$D:$AM, 10, FALSE), 1)</f>
        <v>1.1837592023832151E-2</v>
      </c>
      <c r="Y8" s="7">
        <f>$B8 * IFERROR(VLOOKUP("electricity|PM25|Asthma symptoms wheeze", US_national_yearly!$D:$AM, 33, FALSE) / VLOOKUP("electricity|PM25|Asthma symptoms wheeze", US_national_yearly!$D:$AM, 10, FALSE), 1)</f>
        <v>1.1837592023832151E-2</v>
      </c>
      <c r="Z8" s="7">
        <f>$B8 * IFERROR(VLOOKUP("electricity|PM25|Asthma symptoms wheeze", US_national_yearly!$D:$AM, 34, FALSE) / VLOOKUP("electricity|PM25|Asthma symptoms wheeze", US_national_yearly!$D:$AM, 10, FALSE), 1)</f>
        <v>1.1837592023832151E-2</v>
      </c>
      <c r="AA8" s="7">
        <f>$B8 * IFERROR(VLOOKUP("electricity|PM25|Asthma symptoms wheeze", US_national_yearly!$D:$AM, 35, FALSE) / VLOOKUP("electricity|PM25|Asthma symptoms wheeze", US_national_yearly!$D:$AM, 10, FALSE), 1)</f>
        <v>1.1837592023832151E-2</v>
      </c>
      <c r="AB8" s="7">
        <f>$B8 * IFERROR(VLOOKUP("electricity|PM25|Asthma symptoms wheeze", US_national_yearly!$D:$AM, 36, FALSE) / VLOOKUP("electricity|PM25|Asthma symptoms wheeze", US_national_yearly!$D:$AM, 10, FALSE), 1)</f>
        <v>1.1837592023832151E-2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2.159221134980709E-4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2.1710879514716419E-4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2.1829547679625742E-4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2.1948215844535076E-4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2.2066884009444402E-4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2.2194093365278245E-4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2.2321302721112088E-4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2.2434951284979122E-4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2.2548599848846152E-4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2.266224841271318E-4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2.2775896976580208E-4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2.2889545540447242E-4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2.2966205532359894E-4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2.304286552427255E-4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2.3119525516185205E-4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2.3196185508097855E-4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2.3272845500010511E-4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2.3344281891431818E-4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2.3415718282853118E-4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2.3487154674274423E-4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2.3558591065695725E-4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2.3630027457117024E-4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2.370066444420772E-4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2.3771301431298411E-4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2.3841938418389105E-4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2.3912575405479796E-4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2.3983212392570492E-4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1.0321861510392809E-3</v>
      </c>
      <c r="C13" s="7">
        <f>$B13 * IFERROR(VLOOKUP("electricity|PM25|Non-fatal heart attacks", US_national_yearly!$D:$AM, 11, FALSE) / VLOOKUP("electricity|PM25|Non-fatal heart attacks", US_national_yearly!$D:$AM, 10, FALSE), 1)</f>
        <v>1.0620832389917182E-3</v>
      </c>
      <c r="D13" s="7">
        <f>$B13 * IFERROR(VLOOKUP("electricity|PM25|Non-fatal heart attacks", US_national_yearly!$D:$AM, 12, FALSE) / VLOOKUP("electricity|PM25|Non-fatal heart attacks", US_national_yearly!$D:$AM, 10, FALSE), 1)</f>
        <v>1.0919803269441556E-3</v>
      </c>
      <c r="E13" s="7">
        <f>$B13 * IFERROR(VLOOKUP("electricity|PM25|Non-fatal heart attacks", US_national_yearly!$D:$AM, 13, FALSE) / VLOOKUP("electricity|PM25|Non-fatal heart attacks", US_national_yearly!$D:$AM, 10, FALSE), 1)</f>
        <v>1.1218774148965926E-3</v>
      </c>
      <c r="F13" s="7">
        <f>$B13 * IFERROR(VLOOKUP("electricity|PM25|Non-fatal heart attacks", US_national_yearly!$D:$AM, 14, FALSE) / VLOOKUP("electricity|PM25|Non-fatal heart attacks", US_national_yearly!$D:$AM, 10, FALSE), 1)</f>
        <v>1.1517745028490299E-3</v>
      </c>
      <c r="G13" s="7">
        <f>$B13 * IFERROR(VLOOKUP("electricity|PM25|Non-fatal heart attacks", US_national_yearly!$D:$AM, 15, FALSE) / VLOOKUP("electricity|PM25|Non-fatal heart attacks", US_national_yearly!$D:$AM, 10, FALSE), 1)</f>
        <v>1.1801518320047851E-3</v>
      </c>
      <c r="H13" s="7">
        <f>$B13 * IFERROR(VLOOKUP("electricity|PM25|Non-fatal heart attacks", US_national_yearly!$D:$AM, 16, FALSE) / VLOOKUP("electricity|PM25|Non-fatal heart attacks", US_national_yearly!$D:$AM, 10, FALSE), 1)</f>
        <v>1.2085291611605403E-3</v>
      </c>
      <c r="I13" s="7">
        <f>$B13 * IFERROR(VLOOKUP("electricity|PM25|Non-fatal heart attacks", US_national_yearly!$D:$AM, 17, FALSE) / VLOOKUP("electricity|PM25|Non-fatal heart attacks", US_national_yearly!$D:$AM, 10, FALSE), 1)</f>
        <v>1.2316817116492717E-3</v>
      </c>
      <c r="J13" s="7">
        <f>$B13 * IFERROR(VLOOKUP("electricity|PM25|Non-fatal heart attacks", US_national_yearly!$D:$AM, 18, FALSE) / VLOOKUP("electricity|PM25|Non-fatal heart attacks", US_national_yearly!$D:$AM, 10, FALSE), 1)</f>
        <v>1.2548342621380032E-3</v>
      </c>
      <c r="K13" s="7">
        <f>$B13 * IFERROR(VLOOKUP("electricity|PM25|Non-fatal heart attacks", US_national_yearly!$D:$AM, 19, FALSE) / VLOOKUP("electricity|PM25|Non-fatal heart attacks", US_national_yearly!$D:$AM, 10, FALSE), 1)</f>
        <v>1.2779868126267344E-3</v>
      </c>
      <c r="L13" s="7">
        <f>$B13 * IFERROR(VLOOKUP("electricity|PM25|Non-fatal heart attacks", US_national_yearly!$D:$AM, 20, FALSE) / VLOOKUP("electricity|PM25|Non-fatal heart attacks", US_national_yearly!$D:$AM, 10, FALSE), 1)</f>
        <v>1.3011393631154656E-3</v>
      </c>
      <c r="M13" s="7">
        <f>$B13 * IFERROR(VLOOKUP("electricity|PM25|Non-fatal heart attacks", US_national_yearly!$D:$AM, 21, FALSE) / VLOOKUP("electricity|PM25|Non-fatal heart attacks", US_national_yearly!$D:$AM, 10, FALSE), 1)</f>
        <v>1.3242919136041975E-3</v>
      </c>
      <c r="N13" s="7">
        <f>$B13 * IFERROR(VLOOKUP("electricity|PM25|Non-fatal heart attacks", US_national_yearly!$D:$AM, 22, FALSE) / VLOOKUP("electricity|PM25|Non-fatal heart attacks", US_national_yearly!$D:$AM, 10, FALSE), 1)</f>
        <v>1.3393149300430314E-3</v>
      </c>
      <c r="O13" s="7">
        <f>$B13 * IFERROR(VLOOKUP("electricity|PM25|Non-fatal heart attacks", US_national_yearly!$D:$AM, 23, FALSE) / VLOOKUP("electricity|PM25|Non-fatal heart attacks", US_national_yearly!$D:$AM, 10, FALSE), 1)</f>
        <v>1.3543379464818653E-3</v>
      </c>
      <c r="P13" s="7">
        <f>$B13 * IFERROR(VLOOKUP("electricity|PM25|Non-fatal heart attacks", US_national_yearly!$D:$AM, 24, FALSE) / VLOOKUP("electricity|PM25|Non-fatal heart attacks", US_national_yearly!$D:$AM, 10, FALSE), 1)</f>
        <v>1.3693609629206991E-3</v>
      </c>
      <c r="Q13" s="7">
        <f>$B13 * IFERROR(VLOOKUP("electricity|PM25|Non-fatal heart attacks", US_national_yearly!$D:$AM, 25, FALSE) / VLOOKUP("electricity|PM25|Non-fatal heart attacks", US_national_yearly!$D:$AM, 10, FALSE), 1)</f>
        <v>1.384383979359533E-3</v>
      </c>
      <c r="R13" s="7">
        <f>$B13 * IFERROR(VLOOKUP("electricity|PM25|Non-fatal heart attacks", US_national_yearly!$D:$AM, 26, FALSE) / VLOOKUP("electricity|PM25|Non-fatal heart attacks", US_national_yearly!$D:$AM, 10, FALSE), 1)</f>
        <v>1.3994069957983669E-3</v>
      </c>
      <c r="S13" s="7">
        <f>$B13 * IFERROR(VLOOKUP("electricity|PM25|Non-fatal heart attacks", US_national_yearly!$D:$AM, 27, FALSE) / VLOOKUP("electricity|PM25|Non-fatal heart attacks", US_national_yearly!$D:$AM, 10, FALSE), 1)</f>
        <v>1.4076775522922544E-3</v>
      </c>
      <c r="T13" s="7">
        <f>$B13 * IFERROR(VLOOKUP("electricity|PM25|Non-fatal heart attacks", US_national_yearly!$D:$AM, 28, FALSE) / VLOOKUP("electricity|PM25|Non-fatal heart attacks", US_national_yearly!$D:$AM, 10, FALSE), 1)</f>
        <v>1.4159481087861422E-3</v>
      </c>
      <c r="U13" s="7">
        <f>$B13 * IFERROR(VLOOKUP("electricity|PM25|Non-fatal heart attacks", US_national_yearly!$D:$AM, 29, FALSE) / VLOOKUP("electricity|PM25|Non-fatal heart attacks", US_national_yearly!$D:$AM, 10, FALSE), 1)</f>
        <v>1.4242186652800295E-3</v>
      </c>
      <c r="V13" s="7">
        <f>$B13 * IFERROR(VLOOKUP("electricity|PM25|Non-fatal heart attacks", US_national_yearly!$D:$AM, 30, FALSE) / VLOOKUP("electricity|PM25|Non-fatal heart attacks", US_national_yearly!$D:$AM, 10, FALSE), 1)</f>
        <v>1.4324892217739171E-3</v>
      </c>
      <c r="W13" s="7">
        <f>$B13 * IFERROR(VLOOKUP("electricity|PM25|Non-fatal heart attacks", US_national_yearly!$D:$AM, 31, FALSE) / VLOOKUP("electricity|PM25|Non-fatal heart attacks", US_national_yearly!$D:$AM, 10, FALSE), 1)</f>
        <v>1.4407597782678046E-3</v>
      </c>
      <c r="X13" s="7">
        <f>$B13 * IFERROR(VLOOKUP("electricity|PM25|Non-fatal heart attacks", US_national_yearly!$D:$AM, 32, FALSE) / VLOOKUP("electricity|PM25|Non-fatal heart attacks", US_national_yearly!$D:$AM, 10, FALSE), 1)</f>
        <v>1.4472299651684738E-3</v>
      </c>
      <c r="Y13" s="7">
        <f>$B13 * IFERROR(VLOOKUP("electricity|PM25|Non-fatal heart attacks", US_national_yearly!$D:$AM, 33, FALSE) / VLOOKUP("electricity|PM25|Non-fatal heart attacks", US_national_yearly!$D:$AM, 10, FALSE), 1)</f>
        <v>1.4537001520691429E-3</v>
      </c>
      <c r="Z13" s="7">
        <f>$B13 * IFERROR(VLOOKUP("electricity|PM25|Non-fatal heart attacks", US_national_yearly!$D:$AM, 34, FALSE) / VLOOKUP("electricity|PM25|Non-fatal heart attacks", US_national_yearly!$D:$AM, 10, FALSE), 1)</f>
        <v>1.4601703389698121E-3</v>
      </c>
      <c r="AA13" s="7">
        <f>$B13 * IFERROR(VLOOKUP("electricity|PM25|Non-fatal heart attacks", US_national_yearly!$D:$AM, 35, FALSE) / VLOOKUP("electricity|PM25|Non-fatal heart attacks", US_national_yearly!$D:$AM, 10, FALSE), 1)</f>
        <v>1.4666405258704814E-3</v>
      </c>
      <c r="AB13" s="7">
        <f>$B13 * IFERROR(VLOOKUP("electricity|PM25|Non-fatal heart attacks", US_national_yearly!$D:$AM, 36, FALSE) / VLOOKUP("electricity|PM25|Non-fatal heart attacks", US_national_yearly!$D:$AM, 10, FALSE), 1)</f>
        <v>1.4731107127711506E-3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0.67596830284458365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0.67746890703992946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0.67896951123527549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0.6804701154306213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0.68197071962596734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0.68419744237108127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0.68642416511619508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0.69035595114089765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0.69428773716560033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0.69821952319030289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0.70215130921500557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0.70608309523970814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0.71153761639848312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0.71699213755725832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0.72244665871603353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0.72790117987480873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0.73335570103358372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0.73885727020312353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0.74435883937266312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0.74986040854220271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0.75536197771174241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0.76086354688128199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0.76557954000220307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0.77029553312312427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0.77501152624404546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0.77972751936496631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0.78444351248588773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0.11398098741225893</v>
      </c>
      <c r="C15" s="7">
        <f>$B15 * IFERROR(VLOOKUP("electricity|PM25|Work loss days", US_national_yearly!$D:$AM, 11, FALSE) / VLOOKUP("electricity|PM25|Work loss days", US_national_yearly!$D:$AM, 10, FALSE), 1)</f>
        <v>0.11430715059639623</v>
      </c>
      <c r="D15" s="7">
        <f>$B15 * IFERROR(VLOOKUP("electricity|PM25|Work loss days", US_national_yearly!$D:$AM, 12, FALSE) / VLOOKUP("electricity|PM25|Work loss days", US_national_yearly!$D:$AM, 10, FALSE), 1)</f>
        <v>0.11463331378053357</v>
      </c>
      <c r="E15" s="7">
        <f>$B15 * IFERROR(VLOOKUP("electricity|PM25|Work loss days", US_national_yearly!$D:$AM, 13, FALSE) / VLOOKUP("electricity|PM25|Work loss days", US_national_yearly!$D:$AM, 10, FALSE), 1)</f>
        <v>0.11495947696467088</v>
      </c>
      <c r="F15" s="7">
        <f>$B15 * IFERROR(VLOOKUP("electricity|PM25|Work loss days", US_national_yearly!$D:$AM, 14, FALSE) / VLOOKUP("electricity|PM25|Work loss days", US_national_yearly!$D:$AM, 10, FALSE), 1)</f>
        <v>0.11528564014880818</v>
      </c>
      <c r="G15" s="7">
        <f>$B15 * IFERROR(VLOOKUP("electricity|PM25|Work loss days", US_national_yearly!$D:$AM, 15, FALSE) / VLOOKUP("electricity|PM25|Work loss days", US_national_yearly!$D:$AM, 10, FALSE), 1)</f>
        <v>0.11570816781032124</v>
      </c>
      <c r="H15" s="7">
        <f>$B15 * IFERROR(VLOOKUP("electricity|PM25|Work loss days", US_national_yearly!$D:$AM, 16, FALSE) / VLOOKUP("electricity|PM25|Work loss days", US_national_yearly!$D:$AM, 10, FALSE), 1)</f>
        <v>0.11613069547183433</v>
      </c>
      <c r="I15" s="7">
        <f>$B15 * IFERROR(VLOOKUP("electricity|PM25|Work loss days", US_national_yearly!$D:$AM, 17, FALSE) / VLOOKUP("electricity|PM25|Work loss days", US_national_yearly!$D:$AM, 10, FALSE), 1)</f>
        <v>0.11676589366046634</v>
      </c>
      <c r="J15" s="7">
        <f>$B15 * IFERROR(VLOOKUP("electricity|PM25|Work loss days", US_national_yearly!$D:$AM, 18, FALSE) / VLOOKUP("electricity|PM25|Work loss days", US_national_yearly!$D:$AM, 10, FALSE), 1)</f>
        <v>0.11740109184909832</v>
      </c>
      <c r="K15" s="7">
        <f>$B15 * IFERROR(VLOOKUP("electricity|PM25|Work loss days", US_national_yearly!$D:$AM, 19, FALSE) / VLOOKUP("electricity|PM25|Work loss days", US_national_yearly!$D:$AM, 10, FALSE), 1)</f>
        <v>0.11803629003773033</v>
      </c>
      <c r="L15" s="7">
        <f>$B15 * IFERROR(VLOOKUP("electricity|PM25|Work loss days", US_national_yearly!$D:$AM, 20, FALSE) / VLOOKUP("electricity|PM25|Work loss days", US_national_yearly!$D:$AM, 10, FALSE), 1)</f>
        <v>0.11867148822636234</v>
      </c>
      <c r="M15" s="7">
        <f>$B15 * IFERROR(VLOOKUP("electricity|PM25|Work loss days", US_national_yearly!$D:$AM, 21, FALSE) / VLOOKUP("electricity|PM25|Work loss days", US_national_yearly!$D:$AM, 10, FALSE), 1)</f>
        <v>0.11930668641499435</v>
      </c>
      <c r="N15" s="7">
        <f>$B15 * IFERROR(VLOOKUP("electricity|PM25|Work loss days", US_national_yearly!$D:$AM, 22, FALSE) / VLOOKUP("electricity|PM25|Work loss days", US_national_yearly!$D:$AM, 10, FALSE), 1)</f>
        <v>0.12012677137354913</v>
      </c>
      <c r="O15" s="7">
        <f>$B15 * IFERROR(VLOOKUP("electricity|PM25|Work loss days", US_national_yearly!$D:$AM, 23, FALSE) / VLOOKUP("electricity|PM25|Work loss days", US_national_yearly!$D:$AM, 10, FALSE), 1)</f>
        <v>0.12094685633210391</v>
      </c>
      <c r="P15" s="7">
        <f>$B15 * IFERROR(VLOOKUP("electricity|PM25|Work loss days", US_national_yearly!$D:$AM, 24, FALSE) / VLOOKUP("electricity|PM25|Work loss days", US_national_yearly!$D:$AM, 10, FALSE), 1)</f>
        <v>0.12176694129065867</v>
      </c>
      <c r="Q15" s="7">
        <f>$B15 * IFERROR(VLOOKUP("electricity|PM25|Work loss days", US_national_yearly!$D:$AM, 25, FALSE) / VLOOKUP("electricity|PM25|Work loss days", US_national_yearly!$D:$AM, 10, FALSE), 1)</f>
        <v>0.12258702624921342</v>
      </c>
      <c r="R15" s="7">
        <f>$B15 * IFERROR(VLOOKUP("electricity|PM25|Work loss days", US_national_yearly!$D:$AM, 26, FALSE) / VLOOKUP("electricity|PM25|Work loss days", US_national_yearly!$D:$AM, 10, FALSE), 1)</f>
        <v>0.12340711120776821</v>
      </c>
      <c r="S15" s="7">
        <f>$B15 * IFERROR(VLOOKUP("electricity|PM25|Work loss days", US_national_yearly!$D:$AM, 27, FALSE) / VLOOKUP("electricity|PM25|Work loss days", US_national_yearly!$D:$AM, 10, FALSE), 1)</f>
        <v>0.1243171159274277</v>
      </c>
      <c r="T15" s="7">
        <f>$B15 * IFERROR(VLOOKUP("electricity|PM25|Work loss days", US_national_yearly!$D:$AM, 28, FALSE) / VLOOKUP("electricity|PM25|Work loss days", US_national_yearly!$D:$AM, 10, FALSE), 1)</f>
        <v>0.12522712064708721</v>
      </c>
      <c r="U15" s="7">
        <f>$B15 * IFERROR(VLOOKUP("electricity|PM25|Work loss days", US_national_yearly!$D:$AM, 29, FALSE) / VLOOKUP("electricity|PM25|Work loss days", US_national_yearly!$D:$AM, 10, FALSE), 1)</f>
        <v>0.12613712536674673</v>
      </c>
      <c r="V15" s="7">
        <f>$B15 * IFERROR(VLOOKUP("electricity|PM25|Work loss days", US_national_yearly!$D:$AM, 30, FALSE) / VLOOKUP("electricity|PM25|Work loss days", US_national_yearly!$D:$AM, 10, FALSE), 1)</f>
        <v>0.12704713008640628</v>
      </c>
      <c r="W15" s="7">
        <f>$B15 * IFERROR(VLOOKUP("electricity|PM25|Work loss days", US_national_yearly!$D:$AM, 31, FALSE) / VLOOKUP("electricity|PM25|Work loss days", US_national_yearly!$D:$AM, 10, FALSE), 1)</f>
        <v>0.12795713480606577</v>
      </c>
      <c r="X15" s="7">
        <f>$B15 * IFERROR(VLOOKUP("electricity|PM25|Work loss days", US_national_yearly!$D:$AM, 32, FALSE) / VLOOKUP("electricity|PM25|Work loss days", US_national_yearly!$D:$AM, 10, FALSE), 1)</f>
        <v>0.12875990828736561</v>
      </c>
      <c r="Y15" s="7">
        <f>$B15 * IFERROR(VLOOKUP("electricity|PM25|Work loss days", US_national_yearly!$D:$AM, 33, FALSE) / VLOOKUP("electricity|PM25|Work loss days", US_national_yearly!$D:$AM, 10, FALSE), 1)</f>
        <v>0.12956268176866539</v>
      </c>
      <c r="Z15" s="7">
        <f>$B15 * IFERROR(VLOOKUP("electricity|PM25|Work loss days", US_national_yearly!$D:$AM, 34, FALSE) / VLOOKUP("electricity|PM25|Work loss days", US_national_yearly!$D:$AM, 10, FALSE), 1)</f>
        <v>0.13036545524996523</v>
      </c>
      <c r="AA15" s="7">
        <f>$B15 * IFERROR(VLOOKUP("electricity|PM25|Work loss days", US_national_yearly!$D:$AM, 35, FALSE) / VLOOKUP("electricity|PM25|Work loss days", US_national_yearly!$D:$AM, 10, FALSE), 1)</f>
        <v>0.13116822873126507</v>
      </c>
      <c r="AB15" s="7">
        <f>$B15 * IFERROR(VLOOKUP("electricity|PM25|Work loss days", US_national_yearly!$D:$AM, 36, FALSE) / VLOOKUP("electricity|PM25|Work loss days", US_national_yearly!$D:$AM, 10, FALSE), 1)</f>
        <v>0.13197100221256489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2.9784147802976364E-4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3.0667989683614926E-4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3.1551831564253488E-4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3.243567344489205E-4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3.3319515325530607E-4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3.4171979448221123E-4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3.502444357091164E-4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3.5762915744366053E-4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3.6501387917820471E-4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3.7239860091274878E-4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3.7978332264729296E-4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3.8716804438183704E-4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3.9213222359473984E-4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3.9709640280764254E-4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4.0206058202054524E-4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4.0702476123344799E-4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4.1198894044635069E-4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4.1472867758022398E-4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4.1746841471409715E-4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4.2020815184797044E-4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4.2294788898184367E-4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4.256876261157169E-4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4.2759901511190426E-4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4.2951040410809163E-4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4.3142179310427906E-4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4.3333318210046653E-4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4.352445710966539E-4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1.0188076740445475E-4</v>
      </c>
      <c r="C2" s="7">
        <f>$B2 * IFERROR(VLOOKUP("electricity|NOx|Premature mortality", US_national_yearly!$D:$AM, 11, FALSE) / VLOOKUP("electricity|NOx|Premature mortality", US_national_yearly!$D:$AM, 10, FALSE), 1)</f>
        <v>1.0342228797789073E-4</v>
      </c>
      <c r="D2" s="7">
        <f>$B2 * IFERROR(VLOOKUP("electricity|NOx|Premature mortality", US_national_yearly!$D:$AM, 12, FALSE) / VLOOKUP("electricity|NOx|Premature mortality", US_national_yearly!$D:$AM, 10, FALSE), 1)</f>
        <v>1.0496380855132674E-4</v>
      </c>
      <c r="E2" s="7">
        <f>$B2 * IFERROR(VLOOKUP("electricity|NOx|Premature mortality", US_national_yearly!$D:$AM, 13, FALSE) / VLOOKUP("electricity|NOx|Premature mortality", US_national_yearly!$D:$AM, 10, FALSE), 1)</f>
        <v>1.0650532912476272E-4</v>
      </c>
      <c r="F2" s="7">
        <f>$B2 * IFERROR(VLOOKUP("electricity|NOx|Premature mortality", US_national_yearly!$D:$AM, 14, FALSE) / VLOOKUP("electricity|NOx|Premature mortality", US_national_yearly!$D:$AM, 10, FALSE), 1)</f>
        <v>1.080468496981987E-4</v>
      </c>
      <c r="G2" s="7">
        <f>$B2 * IFERROR(VLOOKUP("electricity|NOx|Premature mortality", US_national_yearly!$D:$AM, 15, FALSE) / VLOOKUP("electricity|NOx|Premature mortality", US_national_yearly!$D:$AM, 10, FALSE), 1)</f>
        <v>1.1080057317118148E-4</v>
      </c>
      <c r="H2" s="7">
        <f>$B2 * IFERROR(VLOOKUP("electricity|NOx|Premature mortality", US_national_yearly!$D:$AM, 16, FALSE) / VLOOKUP("electricity|NOx|Premature mortality", US_national_yearly!$D:$AM, 10, FALSE), 1)</f>
        <v>1.1355429664416423E-4</v>
      </c>
      <c r="I2" s="7">
        <f>$B2 * IFERROR(VLOOKUP("electricity|NOx|Premature mortality", US_national_yearly!$D:$AM, 17, FALSE) / VLOOKUP("electricity|NOx|Premature mortality", US_national_yearly!$D:$AM, 10, FALSE), 1)</f>
        <v>1.1538425900060886E-4</v>
      </c>
      <c r="J2" s="7">
        <f>$B2 * IFERROR(VLOOKUP("electricity|NOx|Premature mortality", US_national_yearly!$D:$AM, 18, FALSE) / VLOOKUP("electricity|NOx|Premature mortality", US_national_yearly!$D:$AM, 10, FALSE), 1)</f>
        <v>1.172142213570535E-4</v>
      </c>
      <c r="K2" s="7">
        <f>$B2 * IFERROR(VLOOKUP("electricity|NOx|Premature mortality", US_national_yearly!$D:$AM, 19, FALSE) / VLOOKUP("electricity|NOx|Premature mortality", US_national_yearly!$D:$AM, 10, FALSE), 1)</f>
        <v>1.1904418371349813E-4</v>
      </c>
      <c r="L2" s="7">
        <f>$B2 * IFERROR(VLOOKUP("electricity|NOx|Premature mortality", US_national_yearly!$D:$AM, 20, FALSE) / VLOOKUP("electricity|NOx|Premature mortality", US_national_yearly!$D:$AM, 10, FALSE), 1)</f>
        <v>1.2087414606994276E-4</v>
      </c>
      <c r="M2" s="7">
        <f>$B2 * IFERROR(VLOOKUP("electricity|NOx|Premature mortality", US_national_yearly!$D:$AM, 21, FALSE) / VLOOKUP("electricity|NOx|Premature mortality", US_national_yearly!$D:$AM, 10, FALSE), 1)</f>
        <v>1.2270410842638737E-4</v>
      </c>
      <c r="N2" s="7">
        <f>$B2 * IFERROR(VLOOKUP("electricity|NOx|Premature mortality", US_national_yearly!$D:$AM, 22, FALSE) / VLOOKUP("electricity|NOx|Premature mortality", US_national_yearly!$D:$AM, 10, FALSE), 1)</f>
        <v>1.2411613593697391E-4</v>
      </c>
      <c r="O2" s="7">
        <f>$B2 * IFERROR(VLOOKUP("electricity|NOx|Premature mortality", US_national_yearly!$D:$AM, 23, FALSE) / VLOOKUP("electricity|NOx|Premature mortality", US_national_yearly!$D:$AM, 10, FALSE), 1)</f>
        <v>1.2552816344756049E-4</v>
      </c>
      <c r="P2" s="7">
        <f>$B2 * IFERROR(VLOOKUP("electricity|NOx|Premature mortality", US_national_yearly!$D:$AM, 24, FALSE) / VLOOKUP("electricity|NOx|Premature mortality", US_national_yearly!$D:$AM, 10, FALSE), 1)</f>
        <v>1.2694019095814703E-4</v>
      </c>
      <c r="Q2" s="7">
        <f>$B2 * IFERROR(VLOOKUP("electricity|NOx|Premature mortality", US_national_yearly!$D:$AM, 25, FALSE) / VLOOKUP("electricity|NOx|Premature mortality", US_national_yearly!$D:$AM, 10, FALSE), 1)</f>
        <v>1.2835221846873359E-4</v>
      </c>
      <c r="R2" s="7">
        <f>$B2 * IFERROR(VLOOKUP("electricity|NOx|Premature mortality", US_national_yearly!$D:$AM, 26, FALSE) / VLOOKUP("electricity|NOx|Premature mortality", US_national_yearly!$D:$AM, 10, FALSE), 1)</f>
        <v>1.2976424597932012E-4</v>
      </c>
      <c r="S2" s="7">
        <f>$B2 * IFERROR(VLOOKUP("electricity|NOx|Premature mortality", US_national_yearly!$D:$AM, 27, FALSE) / VLOOKUP("electricity|NOx|Premature mortality", US_national_yearly!$D:$AM, 10, FALSE), 1)</f>
        <v>1.3049389971662802E-4</v>
      </c>
      <c r="T2" s="7">
        <f>$B2 * IFERROR(VLOOKUP("electricity|NOx|Premature mortality", US_national_yearly!$D:$AM, 28, FALSE) / VLOOKUP("electricity|NOx|Premature mortality", US_national_yearly!$D:$AM, 10, FALSE), 1)</f>
        <v>1.3122355345393592E-4</v>
      </c>
      <c r="U2" s="7">
        <f>$B2 * IFERROR(VLOOKUP("electricity|NOx|Premature mortality", US_national_yearly!$D:$AM, 29, FALSE) / VLOOKUP("electricity|NOx|Premature mortality", US_national_yearly!$D:$AM, 10, FALSE), 1)</f>
        <v>1.3195320719124387E-4</v>
      </c>
      <c r="V2" s="7">
        <f>$B2 * IFERROR(VLOOKUP("electricity|NOx|Premature mortality", US_national_yearly!$D:$AM, 30, FALSE) / VLOOKUP("electricity|NOx|Premature mortality", US_national_yearly!$D:$AM, 10, FALSE), 1)</f>
        <v>1.326828609285518E-4</v>
      </c>
      <c r="W2" s="7">
        <f>$B2 * IFERROR(VLOOKUP("electricity|NOx|Premature mortality", US_national_yearly!$D:$AM, 31, FALSE) / VLOOKUP("electricity|NOx|Premature mortality", US_national_yearly!$D:$AM, 10, FALSE), 1)</f>
        <v>1.334125146658597E-4</v>
      </c>
      <c r="X2" s="7">
        <f>$B2 * IFERROR(VLOOKUP("electricity|NOx|Premature mortality", US_national_yearly!$D:$AM, 32, FALSE) / VLOOKUP("electricity|NOx|Premature mortality", US_national_yearly!$D:$AM, 10, FALSE), 1)</f>
        <v>1.3357758500884986E-4</v>
      </c>
      <c r="Y2" s="7">
        <f>$B2 * IFERROR(VLOOKUP("electricity|NOx|Premature mortality", US_national_yearly!$D:$AM, 33, FALSE) / VLOOKUP("electricity|NOx|Premature mortality", US_national_yearly!$D:$AM, 10, FALSE), 1)</f>
        <v>1.3374265535184E-4</v>
      </c>
      <c r="Z2" s="7">
        <f>$B2 * IFERROR(VLOOKUP("electricity|NOx|Premature mortality", US_national_yearly!$D:$AM, 34, FALSE) / VLOOKUP("electricity|NOx|Premature mortality", US_national_yearly!$D:$AM, 10, FALSE), 1)</f>
        <v>1.3390772569483016E-4</v>
      </c>
      <c r="AA2" s="7">
        <f>$B2 * IFERROR(VLOOKUP("electricity|NOx|Premature mortality", US_national_yearly!$D:$AM, 35, FALSE) / VLOOKUP("electricity|NOx|Premature mortality", US_national_yearly!$D:$AM, 10, FALSE), 1)</f>
        <v>1.3407279603782027E-4</v>
      </c>
      <c r="AB2" s="7">
        <f>$B2 * IFERROR(VLOOKUP("electricity|NOx|Premature mortality", US_national_yearly!$D:$AM, 36, FALSE) / VLOOKUP("electricity|NOx|Premature mortality", US_national_yearly!$D:$AM, 10, FALSE), 1)</f>
        <v>1.3423786638081043E-4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2.6458673454922577E-7</v>
      </c>
      <c r="C3" s="7">
        <f>$B3 * IFERROR(VLOOKUP("electricity|NOx|Infant mortality", US_national_yearly!$D:$AM, 11, FALSE) / VLOOKUP("electricity|NOx|Infant mortality", US_national_yearly!$D:$AM, 10, FALSE), 1)</f>
        <v>2.6211137447548895E-7</v>
      </c>
      <c r="D3" s="7">
        <f>$B3 * IFERROR(VLOOKUP("electricity|NOx|Infant mortality", US_national_yearly!$D:$AM, 12, FALSE) / VLOOKUP("electricity|NOx|Infant mortality", US_national_yearly!$D:$AM, 10, FALSE), 1)</f>
        <v>2.5963601440175208E-7</v>
      </c>
      <c r="E3" s="7">
        <f>$B3 * IFERROR(VLOOKUP("electricity|NOx|Infant mortality", US_national_yearly!$D:$AM, 13, FALSE) / VLOOKUP("electricity|NOx|Infant mortality", US_national_yearly!$D:$AM, 10, FALSE), 1)</f>
        <v>2.5716065432801525E-7</v>
      </c>
      <c r="F3" s="7">
        <f>$B3 * IFERROR(VLOOKUP("electricity|NOx|Infant mortality", US_national_yearly!$D:$AM, 14, FALSE) / VLOOKUP("electricity|NOx|Infant mortality", US_national_yearly!$D:$AM, 10, FALSE), 1)</f>
        <v>2.5468529425427838E-7</v>
      </c>
      <c r="G3" s="7">
        <f>$B3 * IFERROR(VLOOKUP("electricity|NOx|Infant mortality", US_national_yearly!$D:$AM, 15, FALSE) / VLOOKUP("electricity|NOx|Infant mortality", US_national_yearly!$D:$AM, 10, FALSE), 1)</f>
        <v>1.687416254735301E-7</v>
      </c>
      <c r="H3" s="7">
        <f>$B3 * IFERROR(VLOOKUP("electricity|NOx|Infant mortality", US_national_yearly!$D:$AM, 16, FALSE) / VLOOKUP("electricity|NOx|Infant mortality", US_national_yearly!$D:$AM, 10, FALSE), 1)</f>
        <v>8.2797956692781813E-8</v>
      </c>
      <c r="I3" s="7">
        <f>$B3 * IFERROR(VLOOKUP("electricity|NOx|Infant mortality", US_national_yearly!$D:$AM, 17, FALSE) / VLOOKUP("electricity|NOx|Infant mortality", US_national_yearly!$D:$AM, 10, FALSE), 1)</f>
        <v>8.2195804706090418E-8</v>
      </c>
      <c r="J3" s="7">
        <f>$B3 * IFERROR(VLOOKUP("electricity|NOx|Infant mortality", US_national_yearly!$D:$AM, 18, FALSE) / VLOOKUP("electricity|NOx|Infant mortality", US_national_yearly!$D:$AM, 10, FALSE), 1)</f>
        <v>8.1593652719399036E-8</v>
      </c>
      <c r="K3" s="7">
        <f>$B3 * IFERROR(VLOOKUP("electricity|NOx|Infant mortality", US_national_yearly!$D:$AM, 19, FALSE) / VLOOKUP("electricity|NOx|Infant mortality", US_national_yearly!$D:$AM, 10, FALSE), 1)</f>
        <v>8.0991500732707654E-8</v>
      </c>
      <c r="L3" s="7">
        <f>$B3 * IFERROR(VLOOKUP("electricity|NOx|Infant mortality", US_national_yearly!$D:$AM, 20, FALSE) / VLOOKUP("electricity|NOx|Infant mortality", US_national_yearly!$D:$AM, 10, FALSE), 1)</f>
        <v>8.0389348746016259E-8</v>
      </c>
      <c r="M3" s="7">
        <f>$B3 * IFERROR(VLOOKUP("electricity|NOx|Infant mortality", US_national_yearly!$D:$AM, 21, FALSE) / VLOOKUP("electricity|NOx|Infant mortality", US_national_yearly!$D:$AM, 10, FALSE), 1)</f>
        <v>7.9787196759324864E-8</v>
      </c>
      <c r="N3" s="7">
        <f>$B3 * IFERROR(VLOOKUP("electricity|NOx|Infant mortality", US_national_yearly!$D:$AM, 22, FALSE) / VLOOKUP("electricity|NOx|Infant mortality", US_national_yearly!$D:$AM, 10, FALSE), 1)</f>
        <v>7.9382847374757265E-8</v>
      </c>
      <c r="O3" s="7">
        <f>$B3 * IFERROR(VLOOKUP("electricity|NOx|Infant mortality", US_national_yearly!$D:$AM, 23, FALSE) / VLOOKUP("electricity|NOx|Infant mortality", US_national_yearly!$D:$AM, 10, FALSE), 1)</f>
        <v>7.8978497990189639E-8</v>
      </c>
      <c r="P3" s="7">
        <f>$B3 * IFERROR(VLOOKUP("electricity|NOx|Infant mortality", US_national_yearly!$D:$AM, 24, FALSE) / VLOOKUP("electricity|NOx|Infant mortality", US_national_yearly!$D:$AM, 10, FALSE), 1)</f>
        <v>7.8574148605622026E-8</v>
      </c>
      <c r="Q3" s="7">
        <f>$B3 * IFERROR(VLOOKUP("electricity|NOx|Infant mortality", US_national_yearly!$D:$AM, 25, FALSE) / VLOOKUP("electricity|NOx|Infant mortality", US_national_yearly!$D:$AM, 10, FALSE), 1)</f>
        <v>7.81697992210544E-8</v>
      </c>
      <c r="R3" s="7">
        <f>$B3 * IFERROR(VLOOKUP("electricity|NOx|Infant mortality", US_national_yearly!$D:$AM, 26, FALSE) / VLOOKUP("electricity|NOx|Infant mortality", US_national_yearly!$D:$AM, 10, FALSE), 1)</f>
        <v>7.7765449836486801E-8</v>
      </c>
      <c r="S3" s="7">
        <f>$B3 * IFERROR(VLOOKUP("electricity|NOx|Infant mortality", US_national_yearly!$D:$AM, 27, FALSE) / VLOOKUP("electricity|NOx|Infant mortality", US_national_yearly!$D:$AM, 10, FALSE), 1)</f>
        <v>7.7285416701794941E-8</v>
      </c>
      <c r="T3" s="7">
        <f>$B3 * IFERROR(VLOOKUP("electricity|NOx|Infant mortality", US_national_yearly!$D:$AM, 28, FALSE) / VLOOKUP("electricity|NOx|Infant mortality", US_national_yearly!$D:$AM, 10, FALSE), 1)</f>
        <v>7.6805383567103068E-8</v>
      </c>
      <c r="U3" s="7">
        <f>$B3 * IFERROR(VLOOKUP("electricity|NOx|Infant mortality", US_national_yearly!$D:$AM, 29, FALSE) / VLOOKUP("electricity|NOx|Infant mortality", US_national_yearly!$D:$AM, 10, FALSE), 1)</f>
        <v>7.6325350432411222E-8</v>
      </c>
      <c r="V3" s="7">
        <f>$B3 * IFERROR(VLOOKUP("electricity|NOx|Infant mortality", US_national_yearly!$D:$AM, 30, FALSE) / VLOOKUP("electricity|NOx|Infant mortality", US_national_yearly!$D:$AM, 10, FALSE), 1)</f>
        <v>7.5845317297719389E-8</v>
      </c>
      <c r="W3" s="7">
        <f>$B3 * IFERROR(VLOOKUP("electricity|NOx|Infant mortality", US_national_yearly!$D:$AM, 31, FALSE) / VLOOKUP("electricity|NOx|Infant mortality", US_national_yearly!$D:$AM, 10, FALSE), 1)</f>
        <v>7.5365284163027516E-8</v>
      </c>
      <c r="X3" s="7">
        <f>$B3 * IFERROR(VLOOKUP("electricity|NOx|Infant mortality", US_national_yearly!$D:$AM, 32, FALSE) / VLOOKUP("electricity|NOx|Infant mortality", US_national_yearly!$D:$AM, 10, FALSE), 1)</f>
        <v>7.4871006346466947E-8</v>
      </c>
      <c r="Y3" s="7">
        <f>$B3 * IFERROR(VLOOKUP("electricity|NOx|Infant mortality", US_national_yearly!$D:$AM, 33, FALSE) / VLOOKUP("electricity|NOx|Infant mortality", US_national_yearly!$D:$AM, 10, FALSE), 1)</f>
        <v>7.4376728529906377E-8</v>
      </c>
      <c r="Z3" s="7">
        <f>$B3 * IFERROR(VLOOKUP("electricity|NOx|Infant mortality", US_national_yearly!$D:$AM, 34, FALSE) / VLOOKUP("electricity|NOx|Infant mortality", US_national_yearly!$D:$AM, 10, FALSE), 1)</f>
        <v>7.3882450713345807E-8</v>
      </c>
      <c r="AA3" s="7">
        <f>$B3 * IFERROR(VLOOKUP("electricity|NOx|Infant mortality", US_national_yearly!$D:$AM, 35, FALSE) / VLOOKUP("electricity|NOx|Infant mortality", US_national_yearly!$D:$AM, 10, FALSE), 1)</f>
        <v>7.3388172896785224E-8</v>
      </c>
      <c r="AB3" s="7">
        <f>$B3 * IFERROR(VLOOKUP("electricity|NOx|Infant mortality", US_national_yearly!$D:$AM, 36, FALSE) / VLOOKUP("electricity|NOx|Infant mortality", US_national_yearly!$D:$AM, 10, FALSE), 1)</f>
        <v>7.2893895080224641E-8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2.1879168836484481E-4</v>
      </c>
      <c r="C6" s="7">
        <f>$B6 * IFERROR(VLOOKUP("electricity|NOx|Asthma symptoms cough", US_national_yearly!$D:$AM, 11, FALSE) / VLOOKUP("electricity|NOx|Asthma symptoms cough", US_national_yearly!$D:$AM, 10, FALSE), 1)</f>
        <v>2.2179542058763891E-4</v>
      </c>
      <c r="D6" s="7">
        <f>$B6 * IFERROR(VLOOKUP("electricity|NOx|Asthma symptoms cough", US_national_yearly!$D:$AM, 12, FALSE) / VLOOKUP("electricity|NOx|Asthma symptoms cough", US_national_yearly!$D:$AM, 10, FALSE), 1)</f>
        <v>2.2479915281043309E-4</v>
      </c>
      <c r="E6" s="7">
        <f>$B6 * IFERROR(VLOOKUP("electricity|NOx|Asthma symptoms cough", US_national_yearly!$D:$AM, 13, FALSE) / VLOOKUP("electricity|NOx|Asthma symptoms cough", US_national_yearly!$D:$AM, 10, FALSE), 1)</f>
        <v>2.2780288503322719E-4</v>
      </c>
      <c r="F6" s="7">
        <f>$B6 * IFERROR(VLOOKUP("electricity|NOx|Asthma symptoms cough", US_national_yearly!$D:$AM, 14, FALSE) / VLOOKUP("electricity|NOx|Asthma symptoms cough", US_national_yearly!$D:$AM, 10, FALSE), 1)</f>
        <v>2.3080661725602129E-4</v>
      </c>
      <c r="G6" s="7">
        <f>$B6 * IFERROR(VLOOKUP("electricity|NOx|Asthma symptoms cough", US_national_yearly!$D:$AM, 15, FALSE) / VLOOKUP("electricity|NOx|Asthma symptoms cough", US_national_yearly!$D:$AM, 10, FALSE), 1)</f>
        <v>2.3324881081776541E-4</v>
      </c>
      <c r="H6" s="7">
        <f>$B6 * IFERROR(VLOOKUP("electricity|NOx|Asthma symptoms cough", US_national_yearly!$D:$AM, 16, FALSE) / VLOOKUP("electricity|NOx|Asthma symptoms cough", US_national_yearly!$D:$AM, 10, FALSE), 1)</f>
        <v>2.3569100437950954E-4</v>
      </c>
      <c r="I6" s="7">
        <f>$B6 * IFERROR(VLOOKUP("electricity|NOx|Asthma symptoms cough", US_national_yearly!$D:$AM, 17, FALSE) / VLOOKUP("electricity|NOx|Asthma symptoms cough", US_national_yearly!$D:$AM, 10, FALSE), 1)</f>
        <v>2.3659886063353848E-4</v>
      </c>
      <c r="J6" s="7">
        <f>$B6 * IFERROR(VLOOKUP("electricity|NOx|Asthma symptoms cough", US_national_yearly!$D:$AM, 18, FALSE) / VLOOKUP("electricity|NOx|Asthma symptoms cough", US_national_yearly!$D:$AM, 10, FALSE), 1)</f>
        <v>2.3750671688756742E-4</v>
      </c>
      <c r="K6" s="7">
        <f>$B6 * IFERROR(VLOOKUP("electricity|NOx|Asthma symptoms cough", US_national_yearly!$D:$AM, 19, FALSE) / VLOOKUP("electricity|NOx|Asthma symptoms cough", US_national_yearly!$D:$AM, 10, FALSE), 1)</f>
        <v>2.3841457314159638E-4</v>
      </c>
      <c r="L6" s="7">
        <f>$B6 * IFERROR(VLOOKUP("electricity|NOx|Asthma symptoms cough", US_national_yearly!$D:$AM, 20, FALSE) / VLOOKUP("electricity|NOx|Asthma symptoms cough", US_national_yearly!$D:$AM, 10, FALSE), 1)</f>
        <v>2.3932242939562532E-4</v>
      </c>
      <c r="M6" s="7">
        <f>$B6 * IFERROR(VLOOKUP("electricity|NOx|Asthma symptoms cough", US_national_yearly!$D:$AM, 21, FALSE) / VLOOKUP("electricity|NOx|Asthma symptoms cough", US_national_yearly!$D:$AM, 10, FALSE), 1)</f>
        <v>2.4023028564965429E-4</v>
      </c>
      <c r="N6" s="7">
        <f>$B6 * IFERROR(VLOOKUP("electricity|NOx|Asthma symptoms cough", US_national_yearly!$D:$AM, 22, FALSE) / VLOOKUP("electricity|NOx|Asthma symptoms cough", US_national_yearly!$D:$AM, 10, FALSE), 1)</f>
        <v>2.4123618281710556E-4</v>
      </c>
      <c r="O6" s="7">
        <f>$B6 * IFERROR(VLOOKUP("electricity|NOx|Asthma symptoms cough", US_national_yearly!$D:$AM, 23, FALSE) / VLOOKUP("electricity|NOx|Asthma symptoms cough", US_national_yearly!$D:$AM, 10, FALSE), 1)</f>
        <v>2.4224207998455692E-4</v>
      </c>
      <c r="P6" s="7">
        <f>$B6 * IFERROR(VLOOKUP("electricity|NOx|Asthma symptoms cough", US_national_yearly!$D:$AM, 24, FALSE) / VLOOKUP("electricity|NOx|Asthma symptoms cough", US_national_yearly!$D:$AM, 10, FALSE), 1)</f>
        <v>2.4324797715200819E-4</v>
      </c>
      <c r="Q6" s="7">
        <f>$B6 * IFERROR(VLOOKUP("electricity|NOx|Asthma symptoms cough", US_national_yearly!$D:$AM, 25, FALSE) / VLOOKUP("electricity|NOx|Asthma symptoms cough", US_national_yearly!$D:$AM, 10, FALSE), 1)</f>
        <v>2.4425387431945954E-4</v>
      </c>
      <c r="R6" s="7">
        <f>$B6 * IFERROR(VLOOKUP("electricity|NOx|Asthma symptoms cough", US_national_yearly!$D:$AM, 26, FALSE) / VLOOKUP("electricity|NOx|Asthma symptoms cough", US_national_yearly!$D:$AM, 10, FALSE), 1)</f>
        <v>2.4525977148691082E-4</v>
      </c>
      <c r="S6" s="7">
        <f>$B6 * IFERROR(VLOOKUP("electricity|NOx|Asthma symptoms cough", US_national_yearly!$D:$AM, 27, FALSE) / VLOOKUP("electricity|NOx|Asthma symptoms cough", US_national_yearly!$D:$AM, 10, FALSE), 1)</f>
        <v>2.4651472083426368E-4</v>
      </c>
      <c r="T6" s="7">
        <f>$B6 * IFERROR(VLOOKUP("electricity|NOx|Asthma symptoms cough", US_national_yearly!$D:$AM, 28, FALSE) / VLOOKUP("electricity|NOx|Asthma symptoms cough", US_national_yearly!$D:$AM, 10, FALSE), 1)</f>
        <v>2.4776967018161648E-4</v>
      </c>
      <c r="U6" s="7">
        <f>$B6 * IFERROR(VLOOKUP("electricity|NOx|Asthma symptoms cough", US_national_yearly!$D:$AM, 29, FALSE) / VLOOKUP("electricity|NOx|Asthma symptoms cough", US_national_yearly!$D:$AM, 10, FALSE), 1)</f>
        <v>2.4902461952896939E-4</v>
      </c>
      <c r="V6" s="7">
        <f>$B6 * IFERROR(VLOOKUP("electricity|NOx|Asthma symptoms cough", US_national_yearly!$D:$AM, 30, FALSE) / VLOOKUP("electricity|NOx|Asthma symptoms cough", US_national_yearly!$D:$AM, 10, FALSE), 1)</f>
        <v>2.502795688763222E-4</v>
      </c>
      <c r="W6" s="7">
        <f>$B6 * IFERROR(VLOOKUP("electricity|NOx|Asthma symptoms cough", US_national_yearly!$D:$AM, 31, FALSE) / VLOOKUP("electricity|NOx|Asthma symptoms cough", US_national_yearly!$D:$AM, 10, FALSE), 1)</f>
        <v>2.5153451822367505E-4</v>
      </c>
      <c r="X6" s="7">
        <f>$B6 * IFERROR(VLOOKUP("electricity|NOx|Asthma symptoms cough", US_national_yearly!$D:$AM, 32, FALSE) / VLOOKUP("electricity|NOx|Asthma symptoms cough", US_national_yearly!$D:$AM, 10, FALSE), 1)</f>
        <v>2.5269071143439736E-4</v>
      </c>
      <c r="Y6" s="7">
        <f>$B6 * IFERROR(VLOOKUP("electricity|NOx|Asthma symptoms cough", US_national_yearly!$D:$AM, 33, FALSE) / VLOOKUP("electricity|NOx|Asthma symptoms cough", US_national_yearly!$D:$AM, 10, FALSE), 1)</f>
        <v>2.5384690464511973E-4</v>
      </c>
      <c r="Z6" s="7">
        <f>$B6 * IFERROR(VLOOKUP("electricity|NOx|Asthma symptoms cough", US_national_yearly!$D:$AM, 34, FALSE) / VLOOKUP("electricity|NOx|Asthma symptoms cough", US_national_yearly!$D:$AM, 10, FALSE), 1)</f>
        <v>2.5500309785584209E-4</v>
      </c>
      <c r="AA6" s="7">
        <f>$B6 * IFERROR(VLOOKUP("electricity|NOx|Asthma symptoms cough", US_national_yearly!$D:$AM, 35, FALSE) / VLOOKUP("electricity|NOx|Asthma symptoms cough", US_national_yearly!$D:$AM, 10, FALSE), 1)</f>
        <v>2.561592910665644E-4</v>
      </c>
      <c r="AB6" s="7">
        <f>$B6 * IFERROR(VLOOKUP("electricity|NOx|Asthma symptoms cough", US_national_yearly!$D:$AM, 36, FALSE) / VLOOKUP("electricity|NOx|Asthma symptoms cough", US_national_yearly!$D:$AM, 10, FALSE), 1)</f>
        <v>2.5731548427728677E-4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2.9463487774534591E-4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2.9867984070169017E-4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3.0272480365803453E-4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3.0676976661437878E-4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3.1081472957072303E-4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3.1410349892304137E-4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3.1739226827535966E-4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3.1861482894878635E-4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3.1983738962221292E-4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3.2105995029563955E-4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3.2228251096906612E-4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3.2350507164249275E-4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3.2485965868782823E-4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3.2621424573316382E-4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3.275688327784993E-4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3.2892341982383488E-4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3.3027800686917036E-4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3.3196797895364315E-4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3.3365795103811589E-4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3.3534792312258868E-4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3.3703789520706136E-4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3.3872786729153415E-4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3.4028484985287996E-4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3.4184183241422577E-4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3.4339881497557153E-4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3.4495579753691729E-4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3.4651278009826316E-4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4.5015172410650764E-4</v>
      </c>
      <c r="C8" s="7">
        <f>$B8 * IFERROR(VLOOKUP("electricity|NOx|Asthma symptoms wheeze", US_national_yearly!$D:$AM, 11, FALSE) / VLOOKUP("electricity|NOx|Asthma symptoms wheeze", US_national_yearly!$D:$AM, 10, FALSE), 1)</f>
        <v>4.5633173601006478E-4</v>
      </c>
      <c r="D8" s="7">
        <f>$B8 * IFERROR(VLOOKUP("electricity|NOx|Asthma symptoms wheeze", US_national_yearly!$D:$AM, 12, FALSE) / VLOOKUP("electricity|NOx|Asthma symptoms wheeze", US_national_yearly!$D:$AM, 10, FALSE), 1)</f>
        <v>4.6251174791362196E-4</v>
      </c>
      <c r="E8" s="7">
        <f>$B8 * IFERROR(VLOOKUP("electricity|NOx|Asthma symptoms wheeze", US_national_yearly!$D:$AM, 13, FALSE) / VLOOKUP("electricity|NOx|Asthma symptoms wheeze", US_national_yearly!$D:$AM, 10, FALSE), 1)</f>
        <v>4.6869175981717909E-4</v>
      </c>
      <c r="F8" s="7">
        <f>$B8 * IFERROR(VLOOKUP("electricity|NOx|Asthma symptoms wheeze", US_national_yearly!$D:$AM, 14, FALSE) / VLOOKUP("electricity|NOx|Asthma symptoms wheeze", US_national_yearly!$D:$AM, 10, FALSE), 1)</f>
        <v>4.7487177172073639E-4</v>
      </c>
      <c r="G8" s="7">
        <f>$B8 * IFERROR(VLOOKUP("electricity|NOx|Asthma symptoms wheeze", US_national_yearly!$D:$AM, 15, FALSE) / VLOOKUP("electricity|NOx|Asthma symptoms wheeze", US_national_yearly!$D:$AM, 10, FALSE), 1)</f>
        <v>4.7989644907529063E-4</v>
      </c>
      <c r="H8" s="7">
        <f>$B8 * IFERROR(VLOOKUP("electricity|NOx|Asthma symptoms wheeze", US_national_yearly!$D:$AM, 16, FALSE) / VLOOKUP("electricity|NOx|Asthma symptoms wheeze", US_national_yearly!$D:$AM, 10, FALSE), 1)</f>
        <v>4.8492112642984497E-4</v>
      </c>
      <c r="I8" s="7">
        <f>$B8 * IFERROR(VLOOKUP("electricity|NOx|Asthma symptoms wheeze", US_national_yearly!$D:$AM, 17, FALSE) / VLOOKUP("electricity|NOx|Asthma symptoms wheeze", US_national_yearly!$D:$AM, 10, FALSE), 1)</f>
        <v>4.8678899015121752E-4</v>
      </c>
      <c r="J8" s="7">
        <f>$B8 * IFERROR(VLOOKUP("electricity|NOx|Asthma symptoms wheeze", US_national_yearly!$D:$AM, 18, FALSE) / VLOOKUP("electricity|NOx|Asthma symptoms wheeze", US_national_yearly!$D:$AM, 10, FALSE), 1)</f>
        <v>4.8865685387259E-4</v>
      </c>
      <c r="K8" s="7">
        <f>$B8 * IFERROR(VLOOKUP("electricity|NOx|Asthma symptoms wheeze", US_national_yearly!$D:$AM, 19, FALSE) / VLOOKUP("electricity|NOx|Asthma symptoms wheeze", US_national_yearly!$D:$AM, 10, FALSE), 1)</f>
        <v>4.9052471759396276E-4</v>
      </c>
      <c r="L8" s="7">
        <f>$B8 * IFERROR(VLOOKUP("electricity|NOx|Asthma symptoms wheeze", US_national_yearly!$D:$AM, 20, FALSE) / VLOOKUP("electricity|NOx|Asthma symptoms wheeze", US_national_yearly!$D:$AM, 10, FALSE), 1)</f>
        <v>4.923925813153353E-4</v>
      </c>
      <c r="M8" s="7">
        <f>$B8 * IFERROR(VLOOKUP("electricity|NOx|Asthma symptoms wheeze", US_national_yearly!$D:$AM, 21, FALSE) / VLOOKUP("electricity|NOx|Asthma symptoms wheeze", US_national_yearly!$D:$AM, 10, FALSE), 1)</f>
        <v>4.9426044503670784E-4</v>
      </c>
      <c r="N8" s="7">
        <f>$B8 * IFERROR(VLOOKUP("electricity|NOx|Asthma symptoms wheeze", US_national_yearly!$D:$AM, 22, FALSE) / VLOOKUP("electricity|NOx|Asthma symptoms wheeze", US_national_yearly!$D:$AM, 10, FALSE), 1)</f>
        <v>4.9633002248180181E-4</v>
      </c>
      <c r="O8" s="7">
        <f>$B8 * IFERROR(VLOOKUP("electricity|NOx|Asthma symptoms wheeze", US_national_yearly!$D:$AM, 23, FALSE) / VLOOKUP("electricity|NOx|Asthma symptoms wheeze", US_national_yearly!$D:$AM, 10, FALSE), 1)</f>
        <v>4.9839959992689588E-4</v>
      </c>
      <c r="P8" s="7">
        <f>$B8 * IFERROR(VLOOKUP("electricity|NOx|Asthma symptoms wheeze", US_national_yearly!$D:$AM, 24, FALSE) / VLOOKUP("electricity|NOx|Asthma symptoms wheeze", US_national_yearly!$D:$AM, 10, FALSE), 1)</f>
        <v>5.0046917737198995E-4</v>
      </c>
      <c r="Q8" s="7">
        <f>$B8 * IFERROR(VLOOKUP("electricity|NOx|Asthma symptoms wheeze", US_national_yearly!$D:$AM, 25, FALSE) / VLOOKUP("electricity|NOx|Asthma symptoms wheeze", US_national_yearly!$D:$AM, 10, FALSE), 1)</f>
        <v>5.0253875481708391E-4</v>
      </c>
      <c r="R8" s="7">
        <f>$B8 * IFERROR(VLOOKUP("electricity|NOx|Asthma symptoms wheeze", US_national_yearly!$D:$AM, 26, FALSE) / VLOOKUP("electricity|NOx|Asthma symptoms wheeze", US_national_yearly!$D:$AM, 10, FALSE), 1)</f>
        <v>5.0460833226217787E-4</v>
      </c>
      <c r="S8" s="7">
        <f>$B8 * IFERROR(VLOOKUP("electricity|NOx|Asthma symptoms wheeze", US_national_yearly!$D:$AM, 27, FALSE) / VLOOKUP("electricity|NOx|Asthma symptoms wheeze", US_national_yearly!$D:$AM, 10, FALSE), 1)</f>
        <v>5.071903207087352E-4</v>
      </c>
      <c r="T8" s="7">
        <f>$B8 * IFERROR(VLOOKUP("electricity|NOx|Asthma symptoms wheeze", US_national_yearly!$D:$AM, 28, FALSE) / VLOOKUP("electricity|NOx|Asthma symptoms wheeze", US_national_yearly!$D:$AM, 10, FALSE), 1)</f>
        <v>5.0977230915529264E-4</v>
      </c>
      <c r="U8" s="7">
        <f>$B8 * IFERROR(VLOOKUP("electricity|NOx|Asthma symptoms wheeze", US_national_yearly!$D:$AM, 29, FALSE) / VLOOKUP("electricity|NOx|Asthma symptoms wheeze", US_national_yearly!$D:$AM, 10, FALSE), 1)</f>
        <v>5.1235429760184987E-4</v>
      </c>
      <c r="V8" s="7">
        <f>$B8 * IFERROR(VLOOKUP("electricity|NOx|Asthma symptoms wheeze", US_national_yearly!$D:$AM, 30, FALSE) / VLOOKUP("electricity|NOx|Asthma symptoms wheeze", US_national_yearly!$D:$AM, 10, FALSE), 1)</f>
        <v>5.149362860484072E-4</v>
      </c>
      <c r="W8" s="7">
        <f>$B8 * IFERROR(VLOOKUP("electricity|NOx|Asthma symptoms wheeze", US_national_yearly!$D:$AM, 31, FALSE) / VLOOKUP("electricity|NOx|Asthma symptoms wheeze", US_national_yearly!$D:$AM, 10, FALSE), 1)</f>
        <v>5.1751827449496464E-4</v>
      </c>
      <c r="X8" s="7">
        <f>$B8 * IFERROR(VLOOKUP("electricity|NOx|Asthma symptoms wheeze", US_national_yearly!$D:$AM, 32, FALSE) / VLOOKUP("electricity|NOx|Asthma symptoms wheeze", US_national_yearly!$D:$AM, 10, FALSE), 1)</f>
        <v>5.1989707768560747E-4</v>
      </c>
      <c r="Y8" s="7">
        <f>$B8 * IFERROR(VLOOKUP("electricity|NOx|Asthma symptoms wheeze", US_national_yearly!$D:$AM, 33, FALSE) / VLOOKUP("electricity|NOx|Asthma symptoms wheeze", US_national_yearly!$D:$AM, 10, FALSE), 1)</f>
        <v>5.2227588087625041E-4</v>
      </c>
      <c r="Z8" s="7">
        <f>$B8 * IFERROR(VLOOKUP("electricity|NOx|Asthma symptoms wheeze", US_national_yearly!$D:$AM, 34, FALSE) / VLOOKUP("electricity|NOx|Asthma symptoms wheeze", US_national_yearly!$D:$AM, 10, FALSE), 1)</f>
        <v>5.2465468406689313E-4</v>
      </c>
      <c r="AA8" s="7">
        <f>$B8 * IFERROR(VLOOKUP("electricity|NOx|Asthma symptoms wheeze", US_national_yearly!$D:$AM, 35, FALSE) / VLOOKUP("electricity|NOx|Asthma symptoms wheeze", US_national_yearly!$D:$AM, 10, FALSE), 1)</f>
        <v>5.2703348725753607E-4</v>
      </c>
      <c r="AB8" s="7">
        <f>$B8 * IFERROR(VLOOKUP("electricity|NOx|Asthma symptoms wheeze", US_national_yearly!$D:$AM, 36, FALSE) / VLOOKUP("electricity|NOx|Asthma symptoms wheeze", US_national_yearly!$D:$AM, 10, FALSE), 1)</f>
        <v>5.294122904481789E-4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8.519034230931643E-6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8.7372209263934289E-6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8.9554076218552181E-6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9.1735943173170039E-6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9.3917810127787898E-6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9.6018193700708872E-6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9.8118577273629863E-6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9.9924734351188945E-6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1.0173089142874801E-5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1.0353704850630711E-5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1.0534320558386619E-5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1.0714936266142527E-5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1.0838714478675649E-5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1.096249269120877E-5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1.108627090374189E-5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1.1210049116275011E-5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1.1333827328808133E-5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1.1404322969765664E-5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1.1474818610723196E-5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1.1545314251680725E-5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1.1615809892638256E-5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1.1686305533595787E-5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1.1737580227345225E-5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1.1788854921094663E-5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1.1840129614844104E-5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1.1891404308593544E-5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1.194267900234298E-5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4.0533216047714E-5</v>
      </c>
      <c r="C13" s="7">
        <f>$B13 * IFERROR(VLOOKUP("electricity|NOx|Non-fatal heart attacks", US_national_yearly!$D:$AM, 11, FALSE) / VLOOKUP("electricity|NOx|Non-fatal heart attacks", US_national_yearly!$D:$AM, 10, FALSE), 1)</f>
        <v>4.1696407681321605E-5</v>
      </c>
      <c r="D13" s="7">
        <f>$B13 * IFERROR(VLOOKUP("electricity|NOx|Non-fatal heart attacks", US_national_yearly!$D:$AM, 12, FALSE) / VLOOKUP("electricity|NOx|Non-fatal heart attacks", US_national_yearly!$D:$AM, 10, FALSE), 1)</f>
        <v>4.2859599314929211E-5</v>
      </c>
      <c r="E13" s="7">
        <f>$B13 * IFERROR(VLOOKUP("electricity|NOx|Non-fatal heart attacks", US_national_yearly!$D:$AM, 13, FALSE) / VLOOKUP("electricity|NOx|Non-fatal heart attacks", US_national_yearly!$D:$AM, 10, FALSE), 1)</f>
        <v>4.4022790948536816E-5</v>
      </c>
      <c r="F13" s="7">
        <f>$B13 * IFERROR(VLOOKUP("electricity|NOx|Non-fatal heart attacks", US_national_yearly!$D:$AM, 14, FALSE) / VLOOKUP("electricity|NOx|Non-fatal heart attacks", US_national_yearly!$D:$AM, 10, FALSE), 1)</f>
        <v>4.5185982582144428E-5</v>
      </c>
      <c r="G13" s="7">
        <f>$B13 * IFERROR(VLOOKUP("electricity|NOx|Non-fatal heart attacks", US_national_yearly!$D:$AM, 15, FALSE) / VLOOKUP("electricity|NOx|Non-fatal heart attacks", US_national_yearly!$D:$AM, 10, FALSE), 1)</f>
        <v>4.6281753730741544E-5</v>
      </c>
      <c r="H13" s="7">
        <f>$B13 * IFERROR(VLOOKUP("electricity|NOx|Non-fatal heart attacks", US_national_yearly!$D:$AM, 16, FALSE) / VLOOKUP("electricity|NOx|Non-fatal heart attacks", US_national_yearly!$D:$AM, 10, FALSE), 1)</f>
        <v>4.7377524879338659E-5</v>
      </c>
      <c r="I13" s="7">
        <f>$B13 * IFERROR(VLOOKUP("electricity|NOx|Non-fatal heart attacks", US_national_yearly!$D:$AM, 17, FALSE) / VLOOKUP("electricity|NOx|Non-fatal heart attacks", US_national_yearly!$D:$AM, 10, FALSE), 1)</f>
        <v>4.8256222482096995E-5</v>
      </c>
      <c r="J13" s="7">
        <f>$B13 * IFERROR(VLOOKUP("electricity|NOx|Non-fatal heart attacks", US_national_yearly!$D:$AM, 18, FALSE) / VLOOKUP("electricity|NOx|Non-fatal heart attacks", US_national_yearly!$D:$AM, 10, FALSE), 1)</f>
        <v>4.9134920084855331E-5</v>
      </c>
      <c r="K13" s="7">
        <f>$B13 * IFERROR(VLOOKUP("electricity|NOx|Non-fatal heart attacks", US_national_yearly!$D:$AM, 19, FALSE) / VLOOKUP("electricity|NOx|Non-fatal heart attacks", US_national_yearly!$D:$AM, 10, FALSE), 1)</f>
        <v>5.001361768761362E-5</v>
      </c>
      <c r="L13" s="7">
        <f>$B13 * IFERROR(VLOOKUP("electricity|NOx|Non-fatal heart attacks", US_national_yearly!$D:$AM, 20, FALSE) / VLOOKUP("electricity|NOx|Non-fatal heart attacks", US_national_yearly!$D:$AM, 10, FALSE), 1)</f>
        <v>5.0892315290371956E-5</v>
      </c>
      <c r="M13" s="7">
        <f>$B13 * IFERROR(VLOOKUP("electricity|NOx|Non-fatal heart attacks", US_national_yearly!$D:$AM, 21, FALSE) / VLOOKUP("electricity|NOx|Non-fatal heart attacks", US_national_yearly!$D:$AM, 10, FALSE), 1)</f>
        <v>5.1771012893130305E-5</v>
      </c>
      <c r="N13" s="7">
        <f>$B13 * IFERROR(VLOOKUP("electricity|NOx|Non-fatal heart attacks", US_national_yearly!$D:$AM, 22, FALSE) / VLOOKUP("electricity|NOx|Non-fatal heart attacks", US_national_yearly!$D:$AM, 10, FALSE), 1)</f>
        <v>5.2312923961845663E-5</v>
      </c>
      <c r="O13" s="7">
        <f>$B13 * IFERROR(VLOOKUP("electricity|NOx|Non-fatal heart attacks", US_national_yearly!$D:$AM, 23, FALSE) / VLOOKUP("electricity|NOx|Non-fatal heart attacks", US_national_yearly!$D:$AM, 10, FALSE), 1)</f>
        <v>5.2854835030561047E-5</v>
      </c>
      <c r="P13" s="7">
        <f>$B13 * IFERROR(VLOOKUP("electricity|NOx|Non-fatal heart attacks", US_national_yearly!$D:$AM, 24, FALSE) / VLOOKUP("electricity|NOx|Non-fatal heart attacks", US_national_yearly!$D:$AM, 10, FALSE), 1)</f>
        <v>5.3396746099276411E-5</v>
      </c>
      <c r="Q13" s="7">
        <f>$B13 * IFERROR(VLOOKUP("electricity|NOx|Non-fatal heart attacks", US_national_yearly!$D:$AM, 25, FALSE) / VLOOKUP("electricity|NOx|Non-fatal heart attacks", US_national_yearly!$D:$AM, 10, FALSE), 1)</f>
        <v>5.3938657167991782E-5</v>
      </c>
      <c r="R13" s="7">
        <f>$B13 * IFERROR(VLOOKUP("electricity|NOx|Non-fatal heart attacks", US_national_yearly!$D:$AM, 26, FALSE) / VLOOKUP("electricity|NOx|Non-fatal heart attacks", US_national_yearly!$D:$AM, 10, FALSE), 1)</f>
        <v>5.4480568236707152E-5</v>
      </c>
      <c r="S13" s="7">
        <f>$B13 * IFERROR(VLOOKUP("electricity|NOx|Non-fatal heart attacks", US_national_yearly!$D:$AM, 27, FALSE) / VLOOKUP("electricity|NOx|Non-fatal heart attacks", US_national_yearly!$D:$AM, 10, FALSE), 1)</f>
        <v>5.4745344179495497E-5</v>
      </c>
      <c r="T13" s="7">
        <f>$B13 * IFERROR(VLOOKUP("electricity|NOx|Non-fatal heart attacks", US_national_yearly!$D:$AM, 28, FALSE) / VLOOKUP("electricity|NOx|Non-fatal heart attacks", US_national_yearly!$D:$AM, 10, FALSE), 1)</f>
        <v>5.5010120122283828E-5</v>
      </c>
      <c r="U13" s="7">
        <f>$B13 * IFERROR(VLOOKUP("electricity|NOx|Non-fatal heart attacks", US_national_yearly!$D:$AM, 29, FALSE) / VLOOKUP("electricity|NOx|Non-fatal heart attacks", US_national_yearly!$D:$AM, 10, FALSE), 1)</f>
        <v>5.5274896065072179E-5</v>
      </c>
      <c r="V13" s="7">
        <f>$B13 * IFERROR(VLOOKUP("electricity|NOx|Non-fatal heart attacks", US_national_yearly!$D:$AM, 30, FALSE) / VLOOKUP("electricity|NOx|Non-fatal heart attacks", US_national_yearly!$D:$AM, 10, FALSE), 1)</f>
        <v>5.5539672007860516E-5</v>
      </c>
      <c r="W13" s="7">
        <f>$B13 * IFERROR(VLOOKUP("electricity|NOx|Non-fatal heart attacks", US_national_yearly!$D:$AM, 31, FALSE) / VLOOKUP("electricity|NOx|Non-fatal heart attacks", US_national_yearly!$D:$AM, 10, FALSE), 1)</f>
        <v>5.5804447950648867E-5</v>
      </c>
      <c r="X13" s="7">
        <f>$B13 * IFERROR(VLOOKUP("electricity|NOx|Non-fatal heart attacks", US_national_yearly!$D:$AM, 32, FALSE) / VLOOKUP("electricity|NOx|Non-fatal heart attacks", US_national_yearly!$D:$AM, 10, FALSE), 1)</f>
        <v>5.5989254522260854E-5</v>
      </c>
      <c r="Y13" s="7">
        <f>$B13 * IFERROR(VLOOKUP("electricity|NOx|Non-fatal heart attacks", US_national_yearly!$D:$AM, 33, FALSE) / VLOOKUP("electricity|NOx|Non-fatal heart attacks", US_national_yearly!$D:$AM, 10, FALSE), 1)</f>
        <v>5.6174061093872861E-5</v>
      </c>
      <c r="Z13" s="7">
        <f>$B13 * IFERROR(VLOOKUP("electricity|NOx|Non-fatal heart attacks", US_national_yearly!$D:$AM, 34, FALSE) / VLOOKUP("electricity|NOx|Non-fatal heart attacks", US_national_yearly!$D:$AM, 10, FALSE), 1)</f>
        <v>5.6358867665484855E-5</v>
      </c>
      <c r="AA13" s="7">
        <f>$B13 * IFERROR(VLOOKUP("electricity|NOx|Non-fatal heart attacks", US_national_yearly!$D:$AM, 35, FALSE) / VLOOKUP("electricity|NOx|Non-fatal heart attacks", US_national_yearly!$D:$AM, 10, FALSE), 1)</f>
        <v>5.6543674237096849E-5</v>
      </c>
      <c r="AB13" s="7">
        <f>$B13 * IFERROR(VLOOKUP("electricity|NOx|Non-fatal heart attacks", US_national_yearly!$D:$AM, 36, FALSE) / VLOOKUP("electricity|NOx|Non-fatal heart attacks", US_national_yearly!$D:$AM, 10, FALSE), 1)</f>
        <v>5.6728480808708856E-5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2.5464133095947996E-2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2.5503175171831975E-2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2.5542217247715954E-2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2.5581259323599937E-2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2.562030139948392E-2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2.5688404423377924E-2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2.5756507447271922E-2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2.5891248818842378E-2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2.602599019041282E-2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2.6160731561983272E-2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2.6295472933553714E-2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2.6430214305124169E-2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2.662506164943268E-2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2.6819908993741187E-2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2.7014756338049693E-2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2.7209603682358207E-2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2.7404451026666721E-2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2.7600771869413832E-2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2.7797092712160944E-2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2.7993413554908062E-2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2.8189734397655177E-2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2.8386055240402289E-2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2.8552084493268952E-2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2.8718113746135598E-2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2.8884142999002285E-2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2.9050172251868945E-2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2.9216201504735601E-2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4.2863886367950615E-3</v>
      </c>
      <c r="C15" s="7">
        <f>$B15 * IFERROR(VLOOKUP("electricity|NOx|Work loss days", US_national_yearly!$D:$AM, 11, FALSE) / VLOOKUP("electricity|NOx|Work loss days", US_national_yearly!$D:$AM, 10, FALSE), 1)</f>
        <v>4.2959488154119653E-3</v>
      </c>
      <c r="D15" s="7">
        <f>$B15 * IFERROR(VLOOKUP("electricity|NOx|Work loss days", US_national_yearly!$D:$AM, 12, FALSE) / VLOOKUP("electricity|NOx|Work loss days", US_national_yearly!$D:$AM, 10, FALSE), 1)</f>
        <v>4.3055089940288701E-3</v>
      </c>
      <c r="E15" s="7">
        <f>$B15 * IFERROR(VLOOKUP("electricity|NOx|Work loss days", US_national_yearly!$D:$AM, 13, FALSE) / VLOOKUP("electricity|NOx|Work loss days", US_national_yearly!$D:$AM, 10, FALSE), 1)</f>
        <v>4.3150691726457739E-3</v>
      </c>
      <c r="F15" s="7">
        <f>$B15 * IFERROR(VLOOKUP("electricity|NOx|Work loss days", US_national_yearly!$D:$AM, 14, FALSE) / VLOOKUP("electricity|NOx|Work loss days", US_national_yearly!$D:$AM, 10, FALSE), 1)</f>
        <v>4.3246293512626778E-3</v>
      </c>
      <c r="G15" s="7">
        <f>$B15 * IFERROR(VLOOKUP("electricity|NOx|Work loss days", US_national_yearly!$D:$AM, 15, FALSE) / VLOOKUP("electricity|NOx|Work loss days", US_national_yearly!$D:$AM, 10, FALSE), 1)</f>
        <v>4.3381070115196671E-3</v>
      </c>
      <c r="H15" s="7">
        <f>$B15 * IFERROR(VLOOKUP("electricity|NOx|Work loss days", US_national_yearly!$D:$AM, 16, FALSE) / VLOOKUP("electricity|NOx|Work loss days", US_national_yearly!$D:$AM, 10, FALSE), 1)</f>
        <v>4.3515846717766555E-3</v>
      </c>
      <c r="I15" s="7">
        <f>$B15 * IFERROR(VLOOKUP("electricity|NOx|Work loss days", US_national_yearly!$D:$AM, 17, FALSE) / VLOOKUP("electricity|NOx|Work loss days", US_national_yearly!$D:$AM, 10, FALSE), 1)</f>
        <v>4.3734687739893016E-3</v>
      </c>
      <c r="J15" s="7">
        <f>$B15 * IFERROR(VLOOKUP("electricity|NOx|Work loss days", US_national_yearly!$D:$AM, 18, FALSE) / VLOOKUP("electricity|NOx|Work loss days", US_national_yearly!$D:$AM, 10, FALSE), 1)</f>
        <v>4.3953528762019486E-3</v>
      </c>
      <c r="K15" s="7">
        <f>$B15 * IFERROR(VLOOKUP("electricity|NOx|Work loss days", US_national_yearly!$D:$AM, 19, FALSE) / VLOOKUP("electricity|NOx|Work loss days", US_national_yearly!$D:$AM, 10, FALSE), 1)</f>
        <v>4.4172369784145939E-3</v>
      </c>
      <c r="L15" s="7">
        <f>$B15 * IFERROR(VLOOKUP("electricity|NOx|Work loss days", US_national_yearly!$D:$AM, 20, FALSE) / VLOOKUP("electricity|NOx|Work loss days", US_national_yearly!$D:$AM, 10, FALSE), 1)</f>
        <v>4.43912108062724E-3</v>
      </c>
      <c r="M15" s="7">
        <f>$B15 * IFERROR(VLOOKUP("electricity|NOx|Work loss days", US_national_yearly!$D:$AM, 21, FALSE) / VLOOKUP("electricity|NOx|Work loss days", US_national_yearly!$D:$AM, 10, FALSE), 1)</f>
        <v>4.4610051828398853E-3</v>
      </c>
      <c r="N15" s="7">
        <f>$B15 * IFERROR(VLOOKUP("electricity|NOx|Work loss days", US_national_yearly!$D:$AM, 22, FALSE) / VLOOKUP("electricity|NOx|Work loss days", US_national_yearly!$D:$AM, 10, FALSE), 1)</f>
        <v>4.4898783902614777E-3</v>
      </c>
      <c r="O15" s="7">
        <f>$B15 * IFERROR(VLOOKUP("electricity|NOx|Work loss days", US_national_yearly!$D:$AM, 23, FALSE) / VLOOKUP("electricity|NOx|Work loss days", US_national_yearly!$D:$AM, 10, FALSE), 1)</f>
        <v>4.5187515976830694E-3</v>
      </c>
      <c r="P15" s="7">
        <f>$B15 * IFERROR(VLOOKUP("electricity|NOx|Work loss days", US_national_yearly!$D:$AM, 24, FALSE) / VLOOKUP("electricity|NOx|Work loss days", US_national_yearly!$D:$AM, 10, FALSE), 1)</f>
        <v>4.5476248051046619E-3</v>
      </c>
      <c r="Q15" s="7">
        <f>$B15 * IFERROR(VLOOKUP("electricity|NOx|Work loss days", US_national_yearly!$D:$AM, 25, FALSE) / VLOOKUP("electricity|NOx|Work loss days", US_national_yearly!$D:$AM, 10, FALSE), 1)</f>
        <v>4.5764980125262535E-3</v>
      </c>
      <c r="R15" s="7">
        <f>$B15 * IFERROR(VLOOKUP("electricity|NOx|Work loss days", US_national_yearly!$D:$AM, 26, FALSE) / VLOOKUP("electricity|NOx|Work loss days", US_national_yearly!$D:$AM, 10, FALSE), 1)</f>
        <v>4.6053712199478443E-3</v>
      </c>
      <c r="S15" s="7">
        <f>$B15 * IFERROR(VLOOKUP("electricity|NOx|Work loss days", US_national_yearly!$D:$AM, 27, FALSE) / VLOOKUP("electricity|NOx|Work loss days", US_national_yearly!$D:$AM, 10, FALSE), 1)</f>
        <v>4.6377273255820218E-3</v>
      </c>
      <c r="T15" s="7">
        <f>$B15 * IFERROR(VLOOKUP("electricity|NOx|Work loss days", US_national_yearly!$D:$AM, 28, FALSE) / VLOOKUP("electricity|NOx|Work loss days", US_national_yearly!$D:$AM, 10, FALSE), 1)</f>
        <v>4.6700834312161984E-3</v>
      </c>
      <c r="U15" s="7">
        <f>$B15 * IFERROR(VLOOKUP("electricity|NOx|Work loss days", US_national_yearly!$D:$AM, 29, FALSE) / VLOOKUP("electricity|NOx|Work loss days", US_national_yearly!$D:$AM, 10, FALSE), 1)</f>
        <v>4.702439536850375E-3</v>
      </c>
      <c r="V15" s="7">
        <f>$B15 * IFERROR(VLOOKUP("electricity|NOx|Work loss days", US_national_yearly!$D:$AM, 30, FALSE) / VLOOKUP("electricity|NOx|Work loss days", US_national_yearly!$D:$AM, 10, FALSE), 1)</f>
        <v>4.7347956424845525E-3</v>
      </c>
      <c r="W15" s="7">
        <f>$B15 * IFERROR(VLOOKUP("electricity|NOx|Work loss days", US_national_yearly!$D:$AM, 31, FALSE) / VLOOKUP("electricity|NOx|Work loss days", US_national_yearly!$D:$AM, 10, FALSE), 1)</f>
        <v>4.76715174811873E-3</v>
      </c>
      <c r="X15" s="7">
        <f>$B15 * IFERROR(VLOOKUP("electricity|NOx|Work loss days", US_national_yearly!$D:$AM, 32, FALSE) / VLOOKUP("electricity|NOx|Work loss days", US_national_yearly!$D:$AM, 10, FALSE), 1)</f>
        <v>4.7953567054906275E-3</v>
      </c>
      <c r="Y15" s="7">
        <f>$B15 * IFERROR(VLOOKUP("electricity|NOx|Work loss days", US_national_yearly!$D:$AM, 33, FALSE) / VLOOKUP("electricity|NOx|Work loss days", US_national_yearly!$D:$AM, 10, FALSE), 1)</f>
        <v>4.8235616628625249E-3</v>
      </c>
      <c r="Z15" s="7">
        <f>$B15 * IFERROR(VLOOKUP("electricity|NOx|Work loss days", US_national_yearly!$D:$AM, 34, FALSE) / VLOOKUP("electricity|NOx|Work loss days", US_national_yearly!$D:$AM, 10, FALSE), 1)</f>
        <v>4.8517666202344224E-3</v>
      </c>
      <c r="AA15" s="7">
        <f>$B15 * IFERROR(VLOOKUP("electricity|NOx|Work loss days", US_national_yearly!$D:$AM, 35, FALSE) / VLOOKUP("electricity|NOx|Work loss days", US_national_yearly!$D:$AM, 10, FALSE), 1)</f>
        <v>4.8799715776063207E-3</v>
      </c>
      <c r="AB15" s="7">
        <f>$B15 * IFERROR(VLOOKUP("electricity|NOx|Work loss days", US_national_yearly!$D:$AM, 36, FALSE) / VLOOKUP("electricity|NOx|Work loss days", US_national_yearly!$D:$AM, 10, FALSE), 1)</f>
        <v>4.9081765349782182E-3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1.1022700399618222E-5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1.1347392044448019E-5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1.1672083689277819E-5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1.1996775334107616E-5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1.2321466978937416E-5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1.2632384439020809E-5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1.2943301899104204E-5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1.3208685912154174E-5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1.3474069925204145E-5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1.3739453938254117E-5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1.400483795130409E-5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1.427022196435406E-5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1.4440538026029472E-5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1.4610854087704885E-5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1.4781170149380296E-5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1.4951486211055708E-5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1.5121802272731121E-5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1.5205617808194727E-5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1.5289433343658333E-5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1.5373248879121938E-5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1.5457064414585548E-5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1.5540879950049153E-5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1.5591113784070833E-5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1.5641347618092509E-5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1.5691581452114185E-5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1.5741815286135864E-5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1.5792049120157541E-5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1.6020301458840328E-4</v>
      </c>
      <c r="C2" s="7">
        <f>$B2 * IFERROR(VLOOKUP("electricity|SO2|Premature mortality", US_national_yearly!$D:$AM, 11, FALSE) / VLOOKUP("electricity|SO2|Premature mortality", US_national_yearly!$D:$AM, 10, FALSE), 1)</f>
        <v>1.6225685419530531E-4</v>
      </c>
      <c r="D2" s="7">
        <f>$B2 * IFERROR(VLOOKUP("electricity|SO2|Premature mortality", US_national_yearly!$D:$AM, 12, FALSE) / VLOOKUP("electricity|SO2|Premature mortality", US_national_yearly!$D:$AM, 10, FALSE), 1)</f>
        <v>1.6431069380220731E-4</v>
      </c>
      <c r="E2" s="7">
        <f>$B2 * IFERROR(VLOOKUP("electricity|SO2|Premature mortality", US_national_yearly!$D:$AM, 13, FALSE) / VLOOKUP("electricity|SO2|Premature mortality", US_national_yearly!$D:$AM, 10, FALSE), 1)</f>
        <v>1.6636453340910932E-4</v>
      </c>
      <c r="F2" s="7">
        <f>$B2 * IFERROR(VLOOKUP("electricity|SO2|Premature mortality", US_national_yearly!$D:$AM, 14, FALSE) / VLOOKUP("electricity|SO2|Premature mortality", US_national_yearly!$D:$AM, 10, FALSE), 1)</f>
        <v>1.6841837301601132E-4</v>
      </c>
      <c r="G2" s="7">
        <f>$B2 * IFERROR(VLOOKUP("electricity|SO2|Premature mortality", US_national_yearly!$D:$AM, 15, FALSE) / VLOOKUP("electricity|SO2|Premature mortality", US_national_yearly!$D:$AM, 10, FALSE), 1)</f>
        <v>1.7237489188496385E-4</v>
      </c>
      <c r="H2" s="7">
        <f>$B2 * IFERROR(VLOOKUP("electricity|SO2|Premature mortality", US_national_yearly!$D:$AM, 16, FALSE) / VLOOKUP("electricity|SO2|Premature mortality", US_national_yearly!$D:$AM, 10, FALSE), 1)</f>
        <v>1.7633141075391632E-4</v>
      </c>
      <c r="I2" s="7">
        <f>$B2 * IFERROR(VLOOKUP("electricity|SO2|Premature mortality", US_national_yearly!$D:$AM, 17, FALSE) / VLOOKUP("electricity|SO2|Premature mortality", US_national_yearly!$D:$AM, 10, FALSE), 1)</f>
        <v>1.7899469441300686E-4</v>
      </c>
      <c r="J2" s="7">
        <f>$B2 * IFERROR(VLOOKUP("electricity|SO2|Premature mortality", US_national_yearly!$D:$AM, 18, FALSE) / VLOOKUP("electricity|SO2|Premature mortality", US_national_yearly!$D:$AM, 10, FALSE), 1)</f>
        <v>1.8165797807209741E-4</v>
      </c>
      <c r="K2" s="7">
        <f>$B2 * IFERROR(VLOOKUP("electricity|SO2|Premature mortality", US_national_yearly!$D:$AM, 19, FALSE) / VLOOKUP("electricity|SO2|Premature mortality", US_national_yearly!$D:$AM, 10, FALSE), 1)</f>
        <v>1.8432126173118792E-4</v>
      </c>
      <c r="L2" s="7">
        <f>$B2 * IFERROR(VLOOKUP("electricity|SO2|Premature mortality", US_national_yearly!$D:$AM, 20, FALSE) / VLOOKUP("electricity|SO2|Premature mortality", US_national_yearly!$D:$AM, 10, FALSE), 1)</f>
        <v>1.8698454539027852E-4</v>
      </c>
      <c r="M2" s="7">
        <f>$B2 * IFERROR(VLOOKUP("electricity|SO2|Premature mortality", US_national_yearly!$D:$AM, 21, FALSE) / VLOOKUP("electricity|SO2|Premature mortality", US_national_yearly!$D:$AM, 10, FALSE), 1)</f>
        <v>1.8964782904936904E-4</v>
      </c>
      <c r="N2" s="7">
        <f>$B2 * IFERROR(VLOOKUP("electricity|SO2|Premature mortality", US_national_yearly!$D:$AM, 22, FALSE) / VLOOKUP("electricity|SO2|Premature mortality", US_national_yearly!$D:$AM, 10, FALSE), 1)</f>
        <v>1.9178223862681114E-4</v>
      </c>
      <c r="O2" s="7">
        <f>$B2 * IFERROR(VLOOKUP("electricity|SO2|Premature mortality", US_national_yearly!$D:$AM, 23, FALSE) / VLOOKUP("electricity|SO2|Premature mortality", US_national_yearly!$D:$AM, 10, FALSE), 1)</f>
        <v>1.9391664820425327E-4</v>
      </c>
      <c r="P2" s="7">
        <f>$B2 * IFERROR(VLOOKUP("electricity|SO2|Premature mortality", US_national_yearly!$D:$AM, 24, FALSE) / VLOOKUP("electricity|SO2|Premature mortality", US_national_yearly!$D:$AM, 10, FALSE), 1)</f>
        <v>1.9605105778169532E-4</v>
      </c>
      <c r="Q2" s="7">
        <f>$B2 * IFERROR(VLOOKUP("electricity|SO2|Premature mortality", US_national_yearly!$D:$AM, 25, FALSE) / VLOOKUP("electricity|SO2|Premature mortality", US_national_yearly!$D:$AM, 10, FALSE), 1)</f>
        <v>1.9818546735913742E-4</v>
      </c>
      <c r="R2" s="7">
        <f>$B2 * IFERROR(VLOOKUP("electricity|SO2|Premature mortality", US_national_yearly!$D:$AM, 26, FALSE) / VLOOKUP("electricity|SO2|Premature mortality", US_national_yearly!$D:$AM, 10, FALSE), 1)</f>
        <v>2.003198769365795E-4</v>
      </c>
      <c r="S2" s="7">
        <f>$B2 * IFERROR(VLOOKUP("electricity|SO2|Premature mortality", US_national_yearly!$D:$AM, 27, FALSE) / VLOOKUP("electricity|SO2|Premature mortality", US_national_yearly!$D:$AM, 10, FALSE), 1)</f>
        <v>2.0154359629246082E-4</v>
      </c>
      <c r="T2" s="7">
        <f>$B2 * IFERROR(VLOOKUP("electricity|SO2|Premature mortality", US_national_yearly!$D:$AM, 28, FALSE) / VLOOKUP("electricity|SO2|Premature mortality", US_national_yearly!$D:$AM, 10, FALSE), 1)</f>
        <v>2.0276731564834217E-4</v>
      </c>
      <c r="U2" s="7">
        <f>$B2 * IFERROR(VLOOKUP("electricity|SO2|Premature mortality", US_national_yearly!$D:$AM, 29, FALSE) / VLOOKUP("electricity|SO2|Premature mortality", US_national_yearly!$D:$AM, 10, FALSE), 1)</f>
        <v>2.039910350042235E-4</v>
      </c>
      <c r="V2" s="7">
        <f>$B2 * IFERROR(VLOOKUP("electricity|SO2|Premature mortality", US_national_yearly!$D:$AM, 30, FALSE) / VLOOKUP("electricity|SO2|Premature mortality", US_national_yearly!$D:$AM, 10, FALSE), 1)</f>
        <v>2.0521475436010488E-4</v>
      </c>
      <c r="W2" s="7">
        <f>$B2 * IFERROR(VLOOKUP("electricity|SO2|Premature mortality", US_national_yearly!$D:$AM, 31, FALSE) / VLOOKUP("electricity|SO2|Premature mortality", US_national_yearly!$D:$AM, 10, FALSE), 1)</f>
        <v>2.064384737159862E-4</v>
      </c>
      <c r="X2" s="7">
        <f>$B2 * IFERROR(VLOOKUP("electricity|SO2|Premature mortality", US_national_yearly!$D:$AM, 32, FALSE) / VLOOKUP("electricity|SO2|Premature mortality", US_national_yearly!$D:$AM, 10, FALSE), 1)</f>
        <v>2.0679903732348225E-4</v>
      </c>
      <c r="Y2" s="7">
        <f>$B2 * IFERROR(VLOOKUP("electricity|SO2|Premature mortality", US_national_yearly!$D:$AM, 33, FALSE) / VLOOKUP("electricity|SO2|Premature mortality", US_national_yearly!$D:$AM, 10, FALSE), 1)</f>
        <v>2.0715960093097824E-4</v>
      </c>
      <c r="Z2" s="7">
        <f>$B2 * IFERROR(VLOOKUP("electricity|SO2|Premature mortality", US_national_yearly!$D:$AM, 34, FALSE) / VLOOKUP("electricity|SO2|Premature mortality", US_national_yearly!$D:$AM, 10, FALSE), 1)</f>
        <v>2.0752016453847425E-4</v>
      </c>
      <c r="AA2" s="7">
        <f>$B2 * IFERROR(VLOOKUP("electricity|SO2|Premature mortality", US_national_yearly!$D:$AM, 35, FALSE) / VLOOKUP("electricity|SO2|Premature mortality", US_national_yearly!$D:$AM, 10, FALSE), 1)</f>
        <v>2.078807281459703E-4</v>
      </c>
      <c r="AB2" s="7">
        <f>$B2 * IFERROR(VLOOKUP("electricity|SO2|Premature mortality", US_national_yearly!$D:$AM, 36, FALSE) / VLOOKUP("electricity|SO2|Premature mortality", US_national_yearly!$D:$AM, 10, FALSE), 1)</f>
        <v>2.0824129175346629E-4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4.2096420518845163E-7</v>
      </c>
      <c r="C3" s="7">
        <f>$B3 * IFERROR(VLOOKUP("electricity|SO2|Infant mortality", US_national_yearly!$D:$AM, 11, FALSE) / VLOOKUP("electricity|SO2|Infant mortality", US_national_yearly!$D:$AM, 10, FALSE), 1)</f>
        <v>4.1740785806135397E-7</v>
      </c>
      <c r="D3" s="7">
        <f>$B3 * IFERROR(VLOOKUP("electricity|SO2|Infant mortality", US_national_yearly!$D:$AM, 12, FALSE) / VLOOKUP("electricity|SO2|Infant mortality", US_national_yearly!$D:$AM, 10, FALSE), 1)</f>
        <v>4.1385151093425631E-7</v>
      </c>
      <c r="E3" s="7">
        <f>$B3 * IFERROR(VLOOKUP("electricity|SO2|Infant mortality", US_national_yearly!$D:$AM, 13, FALSE) / VLOOKUP("electricity|SO2|Infant mortality", US_national_yearly!$D:$AM, 10, FALSE), 1)</f>
        <v>4.102951638071586E-7</v>
      </c>
      <c r="F3" s="7">
        <f>$B3 * IFERROR(VLOOKUP("electricity|SO2|Infant mortality", US_national_yearly!$D:$AM, 14, FALSE) / VLOOKUP("electricity|SO2|Infant mortality", US_national_yearly!$D:$AM, 10, FALSE), 1)</f>
        <v>4.0673881668006104E-7</v>
      </c>
      <c r="G3" s="7">
        <f>$B3 * IFERROR(VLOOKUP("electricity|SO2|Infant mortality", US_national_yearly!$D:$AM, 15, FALSE) / VLOOKUP("electricity|SO2|Infant mortality", US_national_yearly!$D:$AM, 10, FALSE), 1)</f>
        <v>2.7050238267818826E-7</v>
      </c>
      <c r="H3" s="7">
        <f>$B3 * IFERROR(VLOOKUP("electricity|SO2|Infant mortality", US_national_yearly!$D:$AM, 16, FALSE) / VLOOKUP("electricity|SO2|Infant mortality", US_national_yearly!$D:$AM, 10, FALSE), 1)</f>
        <v>1.3426594867631546E-7</v>
      </c>
      <c r="I3" s="7">
        <f>$B3 * IFERROR(VLOOKUP("electricity|SO2|Infant mortality", US_national_yearly!$D:$AM, 17, FALSE) / VLOOKUP("electricity|SO2|Infant mortality", US_national_yearly!$D:$AM, 10, FALSE), 1)</f>
        <v>1.3340698486910672E-7</v>
      </c>
      <c r="J3" s="7">
        <f>$B3 * IFERROR(VLOOKUP("electricity|SO2|Infant mortality", US_national_yearly!$D:$AM, 18, FALSE) / VLOOKUP("electricity|SO2|Infant mortality", US_national_yearly!$D:$AM, 10, FALSE), 1)</f>
        <v>1.3254802106189797E-7</v>
      </c>
      <c r="K3" s="7">
        <f>$B3 * IFERROR(VLOOKUP("electricity|SO2|Infant mortality", US_national_yearly!$D:$AM, 19, FALSE) / VLOOKUP("electricity|SO2|Infant mortality", US_national_yearly!$D:$AM, 10, FALSE), 1)</f>
        <v>1.3168905725468923E-7</v>
      </c>
      <c r="L3" s="7">
        <f>$B3 * IFERROR(VLOOKUP("electricity|SO2|Infant mortality", US_national_yearly!$D:$AM, 20, FALSE) / VLOOKUP("electricity|SO2|Infant mortality", US_national_yearly!$D:$AM, 10, FALSE), 1)</f>
        <v>1.3083009344748047E-7</v>
      </c>
      <c r="M3" s="7">
        <f>$B3 * IFERROR(VLOOKUP("electricity|SO2|Infant mortality", US_national_yearly!$D:$AM, 21, FALSE) / VLOOKUP("electricity|SO2|Infant mortality", US_national_yearly!$D:$AM, 10, FALSE), 1)</f>
        <v>1.2997112964027174E-7</v>
      </c>
      <c r="N3" s="7">
        <f>$B3 * IFERROR(VLOOKUP("electricity|SO2|Infant mortality", US_national_yearly!$D:$AM, 22, FALSE) / VLOOKUP("electricity|SO2|Infant mortality", US_national_yearly!$D:$AM, 10, FALSE), 1)</f>
        <v>1.2942685210873566E-7</v>
      </c>
      <c r="O3" s="7">
        <f>$B3 * IFERROR(VLOOKUP("electricity|SO2|Infant mortality", US_national_yearly!$D:$AM, 23, FALSE) / VLOOKUP("electricity|SO2|Infant mortality", US_national_yearly!$D:$AM, 10, FALSE), 1)</f>
        <v>1.2888257457719956E-7</v>
      </c>
      <c r="P3" s="7">
        <f>$B3 * IFERROR(VLOOKUP("electricity|SO2|Infant mortality", US_national_yearly!$D:$AM, 24, FALSE) / VLOOKUP("electricity|SO2|Infant mortality", US_national_yearly!$D:$AM, 10, FALSE), 1)</f>
        <v>1.2833829704566345E-7</v>
      </c>
      <c r="Q3" s="7">
        <f>$B3 * IFERROR(VLOOKUP("electricity|SO2|Infant mortality", US_national_yearly!$D:$AM, 25, FALSE) / VLOOKUP("electricity|SO2|Infant mortality", US_national_yearly!$D:$AM, 10, FALSE), 1)</f>
        <v>1.2779401951412738E-7</v>
      </c>
      <c r="R3" s="7">
        <f>$B3 * IFERROR(VLOOKUP("electricity|SO2|Infant mortality", US_national_yearly!$D:$AM, 26, FALSE) / VLOOKUP("electricity|SO2|Infant mortality", US_national_yearly!$D:$AM, 10, FALSE), 1)</f>
        <v>1.272497419825913E-7</v>
      </c>
      <c r="S3" s="7">
        <f>$B3 * IFERROR(VLOOKUP("electricity|SO2|Infant mortality", US_national_yearly!$D:$AM, 27, FALSE) / VLOOKUP("electricity|SO2|Infant mortality", US_national_yearly!$D:$AM, 10, FALSE), 1)</f>
        <v>1.2657136900538246E-7</v>
      </c>
      <c r="T3" s="7">
        <f>$B3 * IFERROR(VLOOKUP("electricity|SO2|Infant mortality", US_national_yearly!$D:$AM, 28, FALSE) / VLOOKUP("electricity|SO2|Infant mortality", US_national_yearly!$D:$AM, 10, FALSE), 1)</f>
        <v>1.2589299602817365E-7</v>
      </c>
      <c r="U3" s="7">
        <f>$B3 * IFERROR(VLOOKUP("electricity|SO2|Infant mortality", US_national_yearly!$D:$AM, 29, FALSE) / VLOOKUP("electricity|SO2|Infant mortality", US_national_yearly!$D:$AM, 10, FALSE), 1)</f>
        <v>1.2521462305096484E-7</v>
      </c>
      <c r="V3" s="7">
        <f>$B3 * IFERROR(VLOOKUP("electricity|SO2|Infant mortality", US_national_yearly!$D:$AM, 30, FALSE) / VLOOKUP("electricity|SO2|Infant mortality", US_national_yearly!$D:$AM, 10, FALSE), 1)</f>
        <v>1.2453625007375601E-7</v>
      </c>
      <c r="W3" s="7">
        <f>$B3 * IFERROR(VLOOKUP("electricity|SO2|Infant mortality", US_national_yearly!$D:$AM, 31, FALSE) / VLOOKUP("electricity|SO2|Infant mortality", US_national_yearly!$D:$AM, 10, FALSE), 1)</f>
        <v>1.2385787709654717E-7</v>
      </c>
      <c r="X3" s="7">
        <f>$B3 * IFERROR(VLOOKUP("electricity|SO2|Infant mortality", US_national_yearly!$D:$AM, 32, FALSE) / VLOOKUP("electricity|SO2|Infant mortality", US_national_yearly!$D:$AM, 10, FALSE), 1)</f>
        <v>1.2313407299528327E-7</v>
      </c>
      <c r="Y3" s="7">
        <f>$B3 * IFERROR(VLOOKUP("electricity|SO2|Infant mortality", US_national_yearly!$D:$AM, 33, FALSE) / VLOOKUP("electricity|SO2|Infant mortality", US_national_yearly!$D:$AM, 10, FALSE), 1)</f>
        <v>1.2241026889401931E-7</v>
      </c>
      <c r="Z3" s="7">
        <f>$B3 * IFERROR(VLOOKUP("electricity|SO2|Infant mortality", US_national_yearly!$D:$AM, 34, FALSE) / VLOOKUP("electricity|SO2|Infant mortality", US_national_yearly!$D:$AM, 10, FALSE), 1)</f>
        <v>1.216864647927554E-7</v>
      </c>
      <c r="AA3" s="7">
        <f>$B3 * IFERROR(VLOOKUP("electricity|SO2|Infant mortality", US_national_yearly!$D:$AM, 35, FALSE) / VLOOKUP("electricity|SO2|Infant mortality", US_national_yearly!$D:$AM, 10, FALSE), 1)</f>
        <v>1.209626606914915E-7</v>
      </c>
      <c r="AB3" s="7">
        <f>$B3 * IFERROR(VLOOKUP("electricity|SO2|Infant mortality", US_national_yearly!$D:$AM, 36, FALSE) / VLOOKUP("electricity|SO2|Infant mortality", US_national_yearly!$D:$AM, 10, FALSE), 1)</f>
        <v>1.2023885659022754E-7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3.5212644665386447E-4</v>
      </c>
      <c r="C6" s="7">
        <f>$B6 * IFERROR(VLOOKUP("electricity|SO2|Asthma symptoms cough", US_national_yearly!$D:$AM, 11, FALSE) / VLOOKUP("electricity|SO2|Asthma symptoms cough", US_national_yearly!$D:$AM, 10, FALSE), 1)</f>
        <v>3.5212644665386447E-4</v>
      </c>
      <c r="D6" s="7">
        <f>$B6 * IFERROR(VLOOKUP("electricity|SO2|Asthma symptoms cough", US_national_yearly!$D:$AM, 12, FALSE) / VLOOKUP("electricity|SO2|Asthma symptoms cough", US_national_yearly!$D:$AM, 10, FALSE), 1)</f>
        <v>3.5212644665386447E-4</v>
      </c>
      <c r="E6" s="7">
        <f>$B6 * IFERROR(VLOOKUP("electricity|SO2|Asthma symptoms cough", US_national_yearly!$D:$AM, 13, FALSE) / VLOOKUP("electricity|SO2|Asthma symptoms cough", US_national_yearly!$D:$AM, 10, FALSE), 1)</f>
        <v>3.5212644665386447E-4</v>
      </c>
      <c r="F6" s="7">
        <f>$B6 * IFERROR(VLOOKUP("electricity|SO2|Asthma symptoms cough", US_national_yearly!$D:$AM, 14, FALSE) / VLOOKUP("electricity|SO2|Asthma symptoms cough", US_national_yearly!$D:$AM, 10, FALSE), 1)</f>
        <v>3.5212644665386447E-4</v>
      </c>
      <c r="G6" s="7">
        <f>$B6 * IFERROR(VLOOKUP("electricity|SO2|Asthma symptoms cough", US_national_yearly!$D:$AM, 15, FALSE) / VLOOKUP("electricity|SO2|Asthma symptoms cough", US_national_yearly!$D:$AM, 10, FALSE), 1)</f>
        <v>3.5212644665386447E-4</v>
      </c>
      <c r="H6" s="7">
        <f>$B6 * IFERROR(VLOOKUP("electricity|SO2|Asthma symptoms cough", US_national_yearly!$D:$AM, 16, FALSE) / VLOOKUP("electricity|SO2|Asthma symptoms cough", US_national_yearly!$D:$AM, 10, FALSE), 1)</f>
        <v>3.5212644665386447E-4</v>
      </c>
      <c r="I6" s="7">
        <f>$B6 * IFERROR(VLOOKUP("electricity|SO2|Asthma symptoms cough", US_national_yearly!$D:$AM, 17, FALSE) / VLOOKUP("electricity|SO2|Asthma symptoms cough", US_national_yearly!$D:$AM, 10, FALSE), 1)</f>
        <v>3.5212644665386447E-4</v>
      </c>
      <c r="J6" s="7">
        <f>$B6 * IFERROR(VLOOKUP("electricity|SO2|Asthma symptoms cough", US_national_yearly!$D:$AM, 18, FALSE) / VLOOKUP("electricity|SO2|Asthma symptoms cough", US_national_yearly!$D:$AM, 10, FALSE), 1)</f>
        <v>3.5212644665386447E-4</v>
      </c>
      <c r="K6" s="7">
        <f>$B6 * IFERROR(VLOOKUP("electricity|SO2|Asthma symptoms cough", US_national_yearly!$D:$AM, 19, FALSE) / VLOOKUP("electricity|SO2|Asthma symptoms cough", US_national_yearly!$D:$AM, 10, FALSE), 1)</f>
        <v>3.5212644665386447E-4</v>
      </c>
      <c r="L6" s="7">
        <f>$B6 * IFERROR(VLOOKUP("electricity|SO2|Asthma symptoms cough", US_national_yearly!$D:$AM, 20, FALSE) / VLOOKUP("electricity|SO2|Asthma symptoms cough", US_national_yearly!$D:$AM, 10, FALSE), 1)</f>
        <v>3.5212644665386447E-4</v>
      </c>
      <c r="M6" s="7">
        <f>$B6 * IFERROR(VLOOKUP("electricity|SO2|Asthma symptoms cough", US_national_yearly!$D:$AM, 21, FALSE) / VLOOKUP("electricity|SO2|Asthma symptoms cough", US_national_yearly!$D:$AM, 10, FALSE), 1)</f>
        <v>3.5212644665386447E-4</v>
      </c>
      <c r="N6" s="7">
        <f>$B6 * IFERROR(VLOOKUP("electricity|SO2|Asthma symptoms cough", US_national_yearly!$D:$AM, 22, FALSE) / VLOOKUP("electricity|SO2|Asthma symptoms cough", US_national_yearly!$D:$AM, 10, FALSE), 1)</f>
        <v>3.5212644665386447E-4</v>
      </c>
      <c r="O6" s="7">
        <f>$B6 * IFERROR(VLOOKUP("electricity|SO2|Asthma symptoms cough", US_national_yearly!$D:$AM, 23, FALSE) / VLOOKUP("electricity|SO2|Asthma symptoms cough", US_national_yearly!$D:$AM, 10, FALSE), 1)</f>
        <v>3.5212644665386447E-4</v>
      </c>
      <c r="P6" s="7">
        <f>$B6 * IFERROR(VLOOKUP("electricity|SO2|Asthma symptoms cough", US_national_yearly!$D:$AM, 24, FALSE) / VLOOKUP("electricity|SO2|Asthma symptoms cough", US_national_yearly!$D:$AM, 10, FALSE), 1)</f>
        <v>3.5212644665386447E-4</v>
      </c>
      <c r="Q6" s="7">
        <f>$B6 * IFERROR(VLOOKUP("electricity|SO2|Asthma symptoms cough", US_national_yearly!$D:$AM, 25, FALSE) / VLOOKUP("electricity|SO2|Asthma symptoms cough", US_national_yearly!$D:$AM, 10, FALSE), 1)</f>
        <v>3.5212644665386447E-4</v>
      </c>
      <c r="R6" s="7">
        <f>$B6 * IFERROR(VLOOKUP("electricity|SO2|Asthma symptoms cough", US_national_yearly!$D:$AM, 26, FALSE) / VLOOKUP("electricity|SO2|Asthma symptoms cough", US_national_yearly!$D:$AM, 10, FALSE), 1)</f>
        <v>3.5212644665386447E-4</v>
      </c>
      <c r="S6" s="7">
        <f>$B6 * IFERROR(VLOOKUP("electricity|SO2|Asthma symptoms cough", US_national_yearly!$D:$AM, 27, FALSE) / VLOOKUP("electricity|SO2|Asthma symptoms cough", US_national_yearly!$D:$AM, 10, FALSE), 1)</f>
        <v>3.5212644665386447E-4</v>
      </c>
      <c r="T6" s="7">
        <f>$B6 * IFERROR(VLOOKUP("electricity|SO2|Asthma symptoms cough", US_national_yearly!$D:$AM, 28, FALSE) / VLOOKUP("electricity|SO2|Asthma symptoms cough", US_national_yearly!$D:$AM, 10, FALSE), 1)</f>
        <v>3.5212644665386447E-4</v>
      </c>
      <c r="U6" s="7">
        <f>$B6 * IFERROR(VLOOKUP("electricity|SO2|Asthma symptoms cough", US_national_yearly!$D:$AM, 29, FALSE) / VLOOKUP("electricity|SO2|Asthma symptoms cough", US_national_yearly!$D:$AM, 10, FALSE), 1)</f>
        <v>3.5212644665386447E-4</v>
      </c>
      <c r="V6" s="7">
        <f>$B6 * IFERROR(VLOOKUP("electricity|SO2|Asthma symptoms cough", US_national_yearly!$D:$AM, 30, FALSE) / VLOOKUP("electricity|SO2|Asthma symptoms cough", US_national_yearly!$D:$AM, 10, FALSE), 1)</f>
        <v>3.5212644665386447E-4</v>
      </c>
      <c r="W6" s="7">
        <f>$B6 * IFERROR(VLOOKUP("electricity|SO2|Asthma symptoms cough", US_national_yearly!$D:$AM, 31, FALSE) / VLOOKUP("electricity|SO2|Asthma symptoms cough", US_national_yearly!$D:$AM, 10, FALSE), 1)</f>
        <v>3.5212644665386447E-4</v>
      </c>
      <c r="X6" s="7">
        <f>$B6 * IFERROR(VLOOKUP("electricity|SO2|Asthma symptoms cough", US_national_yearly!$D:$AM, 32, FALSE) / VLOOKUP("electricity|SO2|Asthma symptoms cough", US_national_yearly!$D:$AM, 10, FALSE), 1)</f>
        <v>3.5212644665386447E-4</v>
      </c>
      <c r="Y6" s="7">
        <f>$B6 * IFERROR(VLOOKUP("electricity|SO2|Asthma symptoms cough", US_national_yearly!$D:$AM, 33, FALSE) / VLOOKUP("electricity|SO2|Asthma symptoms cough", US_national_yearly!$D:$AM, 10, FALSE), 1)</f>
        <v>3.5212644665386447E-4</v>
      </c>
      <c r="Z6" s="7">
        <f>$B6 * IFERROR(VLOOKUP("electricity|SO2|Asthma symptoms cough", US_national_yearly!$D:$AM, 34, FALSE) / VLOOKUP("electricity|SO2|Asthma symptoms cough", US_national_yearly!$D:$AM, 10, FALSE), 1)</f>
        <v>3.5212644665386447E-4</v>
      </c>
      <c r="AA6" s="7">
        <f>$B6 * IFERROR(VLOOKUP("electricity|SO2|Asthma symptoms cough", US_national_yearly!$D:$AM, 35, FALSE) / VLOOKUP("electricity|SO2|Asthma symptoms cough", US_national_yearly!$D:$AM, 10, FALSE), 1)</f>
        <v>3.5212644665386447E-4</v>
      </c>
      <c r="AB6" s="7">
        <f>$B6 * IFERROR(VLOOKUP("electricity|SO2|Asthma symptoms cough", US_national_yearly!$D:$AM, 36, FALSE) / VLOOKUP("electricity|SO2|Asthma symptoms cough", US_national_yearly!$D:$AM, 10, FALSE), 1)</f>
        <v>3.5212644665386447E-4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4.7418965117787776E-4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4.7418965117787776E-4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4.7418965117787776E-4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4.7418965117787776E-4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4.7418965117787776E-4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4.7418965117787776E-4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4.7418965117787776E-4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4.7418965117787776E-4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4.7418965117787776E-4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4.7418965117787776E-4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4.7418965117787776E-4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4.7418965117787776E-4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4.7418965117787776E-4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4.7418965117787776E-4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4.7418965117787776E-4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4.7418965117787776E-4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4.7418965117787776E-4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4.7418965117787776E-4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4.7418965117787776E-4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4.7418965117787776E-4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4.7418965117787776E-4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4.7418965117787776E-4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4.7418965117787776E-4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4.7418965117787776E-4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4.7418965117787776E-4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4.7418965117787776E-4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4.7418965117787776E-4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7.2448037192265034E-4</v>
      </c>
      <c r="C8" s="7">
        <f>$B8 * IFERROR(VLOOKUP("electricity|SO2|Asthma symptoms wheeze", US_national_yearly!$D:$AM, 11, FALSE) / VLOOKUP("electricity|SO2|Asthma symptoms wheeze", US_national_yearly!$D:$AM, 10, FALSE), 1)</f>
        <v>7.2448037192265034E-4</v>
      </c>
      <c r="D8" s="7">
        <f>$B8 * IFERROR(VLOOKUP("electricity|SO2|Asthma symptoms wheeze", US_national_yearly!$D:$AM, 12, FALSE) / VLOOKUP("electricity|SO2|Asthma symptoms wheeze", US_national_yearly!$D:$AM, 10, FALSE), 1)</f>
        <v>7.2448037192265034E-4</v>
      </c>
      <c r="E8" s="7">
        <f>$B8 * IFERROR(VLOOKUP("electricity|SO2|Asthma symptoms wheeze", US_national_yearly!$D:$AM, 13, FALSE) / VLOOKUP("electricity|SO2|Asthma symptoms wheeze", US_national_yearly!$D:$AM, 10, FALSE), 1)</f>
        <v>7.2448037192265034E-4</v>
      </c>
      <c r="F8" s="7">
        <f>$B8 * IFERROR(VLOOKUP("electricity|SO2|Asthma symptoms wheeze", US_national_yearly!$D:$AM, 14, FALSE) / VLOOKUP("electricity|SO2|Asthma symptoms wheeze", US_national_yearly!$D:$AM, 10, FALSE), 1)</f>
        <v>7.2448037192265034E-4</v>
      </c>
      <c r="G8" s="7">
        <f>$B8 * IFERROR(VLOOKUP("electricity|SO2|Asthma symptoms wheeze", US_national_yearly!$D:$AM, 15, FALSE) / VLOOKUP("electricity|SO2|Asthma symptoms wheeze", US_national_yearly!$D:$AM, 10, FALSE), 1)</f>
        <v>7.2448037192265034E-4</v>
      </c>
      <c r="H8" s="7">
        <f>$B8 * IFERROR(VLOOKUP("electricity|SO2|Asthma symptoms wheeze", US_national_yearly!$D:$AM, 16, FALSE) / VLOOKUP("electricity|SO2|Asthma symptoms wheeze", US_national_yearly!$D:$AM, 10, FALSE), 1)</f>
        <v>7.2448037192265034E-4</v>
      </c>
      <c r="I8" s="7">
        <f>$B8 * IFERROR(VLOOKUP("electricity|SO2|Asthma symptoms wheeze", US_national_yearly!$D:$AM, 17, FALSE) / VLOOKUP("electricity|SO2|Asthma symptoms wheeze", US_national_yearly!$D:$AM, 10, FALSE), 1)</f>
        <v>7.2448037192265034E-4</v>
      </c>
      <c r="J8" s="7">
        <f>$B8 * IFERROR(VLOOKUP("electricity|SO2|Asthma symptoms wheeze", US_national_yearly!$D:$AM, 18, FALSE) / VLOOKUP("electricity|SO2|Asthma symptoms wheeze", US_national_yearly!$D:$AM, 10, FALSE), 1)</f>
        <v>7.2448037192265034E-4</v>
      </c>
      <c r="K8" s="7">
        <f>$B8 * IFERROR(VLOOKUP("electricity|SO2|Asthma symptoms wheeze", US_national_yearly!$D:$AM, 19, FALSE) / VLOOKUP("electricity|SO2|Asthma symptoms wheeze", US_national_yearly!$D:$AM, 10, FALSE), 1)</f>
        <v>7.2448037192265034E-4</v>
      </c>
      <c r="L8" s="7">
        <f>$B8 * IFERROR(VLOOKUP("electricity|SO2|Asthma symptoms wheeze", US_national_yearly!$D:$AM, 20, FALSE) / VLOOKUP("electricity|SO2|Asthma symptoms wheeze", US_national_yearly!$D:$AM, 10, FALSE), 1)</f>
        <v>7.2448037192265034E-4</v>
      </c>
      <c r="M8" s="7">
        <f>$B8 * IFERROR(VLOOKUP("electricity|SO2|Asthma symptoms wheeze", US_national_yearly!$D:$AM, 21, FALSE) / VLOOKUP("electricity|SO2|Asthma symptoms wheeze", US_national_yearly!$D:$AM, 10, FALSE), 1)</f>
        <v>7.2448037192265034E-4</v>
      </c>
      <c r="N8" s="7">
        <f>$B8 * IFERROR(VLOOKUP("electricity|SO2|Asthma symptoms wheeze", US_national_yearly!$D:$AM, 22, FALSE) / VLOOKUP("electricity|SO2|Asthma symptoms wheeze", US_national_yearly!$D:$AM, 10, FALSE), 1)</f>
        <v>7.2448037192265034E-4</v>
      </c>
      <c r="O8" s="7">
        <f>$B8 * IFERROR(VLOOKUP("electricity|SO2|Asthma symptoms wheeze", US_national_yearly!$D:$AM, 23, FALSE) / VLOOKUP("electricity|SO2|Asthma symptoms wheeze", US_national_yearly!$D:$AM, 10, FALSE), 1)</f>
        <v>7.2448037192265034E-4</v>
      </c>
      <c r="P8" s="7">
        <f>$B8 * IFERROR(VLOOKUP("electricity|SO2|Asthma symptoms wheeze", US_national_yearly!$D:$AM, 24, FALSE) / VLOOKUP("electricity|SO2|Asthma symptoms wheeze", US_national_yearly!$D:$AM, 10, FALSE), 1)</f>
        <v>7.2448037192265034E-4</v>
      </c>
      <c r="Q8" s="7">
        <f>$B8 * IFERROR(VLOOKUP("electricity|SO2|Asthma symptoms wheeze", US_national_yearly!$D:$AM, 25, FALSE) / VLOOKUP("electricity|SO2|Asthma symptoms wheeze", US_national_yearly!$D:$AM, 10, FALSE), 1)</f>
        <v>7.2448037192265034E-4</v>
      </c>
      <c r="R8" s="7">
        <f>$B8 * IFERROR(VLOOKUP("electricity|SO2|Asthma symptoms wheeze", US_national_yearly!$D:$AM, 26, FALSE) / VLOOKUP("electricity|SO2|Asthma symptoms wheeze", US_national_yearly!$D:$AM, 10, FALSE), 1)</f>
        <v>7.2448037192265034E-4</v>
      </c>
      <c r="S8" s="7">
        <f>$B8 * IFERROR(VLOOKUP("electricity|SO2|Asthma symptoms wheeze", US_national_yearly!$D:$AM, 27, FALSE) / VLOOKUP("electricity|SO2|Asthma symptoms wheeze", US_national_yearly!$D:$AM, 10, FALSE), 1)</f>
        <v>7.2448037192265034E-4</v>
      </c>
      <c r="T8" s="7">
        <f>$B8 * IFERROR(VLOOKUP("electricity|SO2|Asthma symptoms wheeze", US_national_yearly!$D:$AM, 28, FALSE) / VLOOKUP("electricity|SO2|Asthma symptoms wheeze", US_national_yearly!$D:$AM, 10, FALSE), 1)</f>
        <v>7.2448037192265034E-4</v>
      </c>
      <c r="U8" s="7">
        <f>$B8 * IFERROR(VLOOKUP("electricity|SO2|Asthma symptoms wheeze", US_national_yearly!$D:$AM, 29, FALSE) / VLOOKUP("electricity|SO2|Asthma symptoms wheeze", US_national_yearly!$D:$AM, 10, FALSE), 1)</f>
        <v>7.2448037192265034E-4</v>
      </c>
      <c r="V8" s="7">
        <f>$B8 * IFERROR(VLOOKUP("electricity|SO2|Asthma symptoms wheeze", US_national_yearly!$D:$AM, 30, FALSE) / VLOOKUP("electricity|SO2|Asthma symptoms wheeze", US_national_yearly!$D:$AM, 10, FALSE), 1)</f>
        <v>7.2448037192265034E-4</v>
      </c>
      <c r="W8" s="7">
        <f>$B8 * IFERROR(VLOOKUP("electricity|SO2|Asthma symptoms wheeze", US_national_yearly!$D:$AM, 31, FALSE) / VLOOKUP("electricity|SO2|Asthma symptoms wheeze", US_national_yearly!$D:$AM, 10, FALSE), 1)</f>
        <v>7.2448037192265034E-4</v>
      </c>
      <c r="X8" s="7">
        <f>$B8 * IFERROR(VLOOKUP("electricity|SO2|Asthma symptoms wheeze", US_national_yearly!$D:$AM, 32, FALSE) / VLOOKUP("electricity|SO2|Asthma symptoms wheeze", US_national_yearly!$D:$AM, 10, FALSE), 1)</f>
        <v>7.2448037192265034E-4</v>
      </c>
      <c r="Y8" s="7">
        <f>$B8 * IFERROR(VLOOKUP("electricity|SO2|Asthma symptoms wheeze", US_national_yearly!$D:$AM, 33, FALSE) / VLOOKUP("electricity|SO2|Asthma symptoms wheeze", US_national_yearly!$D:$AM, 10, FALSE), 1)</f>
        <v>7.2448037192265034E-4</v>
      </c>
      <c r="Z8" s="7">
        <f>$B8 * IFERROR(VLOOKUP("electricity|SO2|Asthma symptoms wheeze", US_national_yearly!$D:$AM, 34, FALSE) / VLOOKUP("electricity|SO2|Asthma symptoms wheeze", US_national_yearly!$D:$AM, 10, FALSE), 1)</f>
        <v>7.2448037192265034E-4</v>
      </c>
      <c r="AA8" s="7">
        <f>$B8 * IFERROR(VLOOKUP("electricity|SO2|Asthma symptoms wheeze", US_national_yearly!$D:$AM, 35, FALSE) / VLOOKUP("electricity|SO2|Asthma symptoms wheeze", US_national_yearly!$D:$AM, 10, FALSE), 1)</f>
        <v>7.2448037192265034E-4</v>
      </c>
      <c r="AB8" s="7">
        <f>$B8 * IFERROR(VLOOKUP("electricity|SO2|Asthma symptoms wheeze", US_national_yearly!$D:$AM, 36, FALSE) / VLOOKUP("electricity|SO2|Asthma symptoms wheeze", US_national_yearly!$D:$AM, 10, FALSE), 1)</f>
        <v>7.2448037192265034E-4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1.3051295884721988E-5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1.3128163200475537E-5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1.320503051622909E-5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1.328189783198264E-5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1.3358765147736193E-5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1.3442527120679108E-5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1.3526289093622026E-5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1.3606869335708558E-5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1.3687449577795093E-5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1.3768029819881628E-5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1.384861006196816E-5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1.3929190304054695E-5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1.398698732089679E-5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1.4044784337738886E-5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1.4102581354580981E-5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1.4160378371423076E-5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1.4218175388265174E-5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1.4272727264491378E-5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1.4327279140717584E-5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1.4381831016943788E-5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1.4436382893169994E-5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1.44909347693962E-5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1.4543267853934753E-5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1.4595600938473313E-5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1.4647934023011871E-5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1.4700267107550425E-5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1.4752600192088985E-5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6.5252677852677897E-5</v>
      </c>
      <c r="C13" s="7">
        <f>$B13 * IFERROR(VLOOKUP("electricity|SO2|Non-fatal heart attacks", US_national_yearly!$D:$AM, 11, FALSE) / VLOOKUP("electricity|SO2|Non-fatal heart attacks", US_national_yearly!$D:$AM, 10, FALSE), 1)</f>
        <v>6.7174732641359192E-5</v>
      </c>
      <c r="D13" s="7">
        <f>$B13 * IFERROR(VLOOKUP("electricity|SO2|Non-fatal heart attacks", US_national_yearly!$D:$AM, 12, FALSE) / VLOOKUP("electricity|SO2|Non-fatal heart attacks", US_national_yearly!$D:$AM, 10, FALSE), 1)</f>
        <v>6.9096787430040447E-5</v>
      </c>
      <c r="E13" s="7">
        <f>$B13 * IFERROR(VLOOKUP("electricity|SO2|Non-fatal heart attacks", US_national_yearly!$D:$AM, 13, FALSE) / VLOOKUP("electricity|SO2|Non-fatal heart attacks", US_national_yearly!$D:$AM, 10, FALSE), 1)</f>
        <v>7.1018842218721729E-5</v>
      </c>
      <c r="F13" s="7">
        <f>$B13 * IFERROR(VLOOKUP("electricity|SO2|Non-fatal heart attacks", US_national_yearly!$D:$AM, 14, FALSE) / VLOOKUP("electricity|SO2|Non-fatal heart attacks", US_national_yearly!$D:$AM, 10, FALSE), 1)</f>
        <v>7.294089700740301E-5</v>
      </c>
      <c r="G13" s="7">
        <f>$B13 * IFERROR(VLOOKUP("electricity|SO2|Non-fatal heart attacks", US_national_yearly!$D:$AM, 15, FALSE) / VLOOKUP("electricity|SO2|Non-fatal heart attacks", US_national_yearly!$D:$AM, 10, FALSE), 1)</f>
        <v>7.4764984669393756E-5</v>
      </c>
      <c r="H13" s="7">
        <f>$B13 * IFERROR(VLOOKUP("electricity|SO2|Non-fatal heart attacks", US_national_yearly!$D:$AM, 16, FALSE) / VLOOKUP("electricity|SO2|Non-fatal heart attacks", US_national_yearly!$D:$AM, 10, FALSE), 1)</f>
        <v>7.6589072331384529E-5</v>
      </c>
      <c r="I13" s="7">
        <f>$B13 * IFERROR(VLOOKUP("electricity|SO2|Non-fatal heart attacks", US_national_yearly!$D:$AM, 17, FALSE) / VLOOKUP("electricity|SO2|Non-fatal heart attacks", US_national_yearly!$D:$AM, 10, FALSE), 1)</f>
        <v>7.8074582943769453E-5</v>
      </c>
      <c r="J13" s="7">
        <f>$B13 * IFERROR(VLOOKUP("electricity|SO2|Non-fatal heart attacks", US_national_yearly!$D:$AM, 18, FALSE) / VLOOKUP("electricity|SO2|Non-fatal heart attacks", US_national_yearly!$D:$AM, 10, FALSE), 1)</f>
        <v>7.956009355615435E-5</v>
      </c>
      <c r="K13" s="7">
        <f>$B13 * IFERROR(VLOOKUP("electricity|SO2|Non-fatal heart attacks", US_national_yearly!$D:$AM, 19, FALSE) / VLOOKUP("electricity|SO2|Non-fatal heart attacks", US_national_yearly!$D:$AM, 10, FALSE), 1)</f>
        <v>8.1045604168539275E-5</v>
      </c>
      <c r="L13" s="7">
        <f>$B13 * IFERROR(VLOOKUP("electricity|SO2|Non-fatal heart attacks", US_national_yearly!$D:$AM, 20, FALSE) / VLOOKUP("electricity|SO2|Non-fatal heart attacks", US_national_yearly!$D:$AM, 10, FALSE), 1)</f>
        <v>8.2531114780924186E-5</v>
      </c>
      <c r="M13" s="7">
        <f>$B13 * IFERROR(VLOOKUP("electricity|SO2|Non-fatal heart attacks", US_national_yearly!$D:$AM, 21, FALSE) / VLOOKUP("electricity|SO2|Non-fatal heart attacks", US_national_yearly!$D:$AM, 10, FALSE), 1)</f>
        <v>8.4016625393309096E-5</v>
      </c>
      <c r="N13" s="7">
        <f>$B13 * IFERROR(VLOOKUP("electricity|SO2|Non-fatal heart attacks", US_national_yearly!$D:$AM, 22, FALSE) / VLOOKUP("electricity|SO2|Non-fatal heart attacks", US_national_yearly!$D:$AM, 10, FALSE), 1)</f>
        <v>8.4996249706645075E-5</v>
      </c>
      <c r="O13" s="7">
        <f>$B13 * IFERROR(VLOOKUP("electricity|SO2|Non-fatal heart attacks", US_national_yearly!$D:$AM, 23, FALSE) / VLOOKUP("electricity|SO2|Non-fatal heart attacks", US_national_yearly!$D:$AM, 10, FALSE), 1)</f>
        <v>8.5975874019981026E-5</v>
      </c>
      <c r="P13" s="7">
        <f>$B13 * IFERROR(VLOOKUP("electricity|SO2|Non-fatal heart attacks", US_national_yearly!$D:$AM, 24, FALSE) / VLOOKUP("electricity|SO2|Non-fatal heart attacks", US_national_yearly!$D:$AM, 10, FALSE), 1)</f>
        <v>8.6955498333316991E-5</v>
      </c>
      <c r="Q13" s="7">
        <f>$B13 * IFERROR(VLOOKUP("electricity|SO2|Non-fatal heart attacks", US_national_yearly!$D:$AM, 25, FALSE) / VLOOKUP("electricity|SO2|Non-fatal heart attacks", US_national_yearly!$D:$AM, 10, FALSE), 1)</f>
        <v>8.7935122646652956E-5</v>
      </c>
      <c r="R13" s="7">
        <f>$B13 * IFERROR(VLOOKUP("electricity|SO2|Non-fatal heart attacks", US_national_yearly!$D:$AM, 26, FALSE) / VLOOKUP("electricity|SO2|Non-fatal heart attacks", US_national_yearly!$D:$AM, 10, FALSE), 1)</f>
        <v>8.8914746959988921E-5</v>
      </c>
      <c r="S13" s="7">
        <f>$B13 * IFERROR(VLOOKUP("electricity|SO2|Non-fatal heart attacks", US_national_yearly!$D:$AM, 27, FALSE) / VLOOKUP("electricity|SO2|Non-fatal heart attacks", US_national_yearly!$D:$AM, 10, FALSE), 1)</f>
        <v>8.9447835199162E-5</v>
      </c>
      <c r="T13" s="7">
        <f>$B13 * IFERROR(VLOOKUP("electricity|SO2|Non-fatal heart attacks", US_national_yearly!$D:$AM, 28, FALSE) / VLOOKUP("electricity|SO2|Non-fatal heart attacks", US_national_yearly!$D:$AM, 10, FALSE), 1)</f>
        <v>8.9980923438335092E-5</v>
      </c>
      <c r="U13" s="7">
        <f>$B13 * IFERROR(VLOOKUP("electricity|SO2|Non-fatal heart attacks", US_national_yearly!$D:$AM, 29, FALSE) / VLOOKUP("electricity|SO2|Non-fatal heart attacks", US_national_yearly!$D:$AM, 10, FALSE), 1)</f>
        <v>9.0514011677508184E-5</v>
      </c>
      <c r="V13" s="7">
        <f>$B13 * IFERROR(VLOOKUP("electricity|SO2|Non-fatal heart attacks", US_national_yearly!$D:$AM, 30, FALSE) / VLOOKUP("electricity|SO2|Non-fatal heart attacks", US_national_yearly!$D:$AM, 10, FALSE), 1)</f>
        <v>9.104709991668125E-5</v>
      </c>
      <c r="W13" s="7">
        <f>$B13 * IFERROR(VLOOKUP("electricity|SO2|Non-fatal heart attacks", US_national_yearly!$D:$AM, 31, FALSE) / VLOOKUP("electricity|SO2|Non-fatal heart attacks", US_national_yearly!$D:$AM, 10, FALSE), 1)</f>
        <v>9.1580188155854342E-5</v>
      </c>
      <c r="X13" s="7">
        <f>$B13 * IFERROR(VLOOKUP("electricity|SO2|Non-fatal heart attacks", US_national_yearly!$D:$AM, 32, FALSE) / VLOOKUP("electricity|SO2|Non-fatal heart attacks", US_national_yearly!$D:$AM, 10, FALSE), 1)</f>
        <v>9.1989688920445366E-5</v>
      </c>
      <c r="Y13" s="7">
        <f>$B13 * IFERROR(VLOOKUP("electricity|SO2|Non-fatal heart attacks", US_national_yearly!$D:$AM, 33, FALSE) / VLOOKUP("electricity|SO2|Non-fatal heart attacks", US_national_yearly!$D:$AM, 10, FALSE), 1)</f>
        <v>9.239918968503639E-5</v>
      </c>
      <c r="Z13" s="7">
        <f>$B13 * IFERROR(VLOOKUP("electricity|SO2|Non-fatal heart attacks", US_national_yearly!$D:$AM, 34, FALSE) / VLOOKUP("electricity|SO2|Non-fatal heart attacks", US_national_yearly!$D:$AM, 10, FALSE), 1)</f>
        <v>9.2808690449627386E-5</v>
      </c>
      <c r="AA13" s="7">
        <f>$B13 * IFERROR(VLOOKUP("electricity|SO2|Non-fatal heart attacks", US_national_yearly!$D:$AM, 35, FALSE) / VLOOKUP("electricity|SO2|Non-fatal heart attacks", US_national_yearly!$D:$AM, 10, FALSE), 1)</f>
        <v>9.321819121421841E-5</v>
      </c>
      <c r="AB13" s="7">
        <f>$B13 * IFERROR(VLOOKUP("electricity|SO2|Non-fatal heart attacks", US_national_yearly!$D:$AM, 36, FALSE) / VLOOKUP("electricity|SO2|Non-fatal heart attacks", US_national_yearly!$D:$AM, 10, FALSE), 1)</f>
        <v>9.3627691978809421E-5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4.1085840659232736E-2</v>
      </c>
      <c r="C14" s="7">
        <f>$B14 * IFERROR(VLOOKUP("electricity|SO2|Minor restricted activity days", US_national_yearly!$D:$AM, 11, FALSE) / VLOOKUP("electricity|SO2|Minor restricted activity days", US_national_yearly!$D:$AM, 10, FALSE), 1)</f>
        <v>4.118908741136703E-2</v>
      </c>
      <c r="D14" s="7">
        <f>$B14 * IFERROR(VLOOKUP("electricity|SO2|Minor restricted activity days", US_national_yearly!$D:$AM, 12, FALSE) / VLOOKUP("electricity|SO2|Minor restricted activity days", US_national_yearly!$D:$AM, 10, FALSE), 1)</f>
        <v>4.1292334163501324E-2</v>
      </c>
      <c r="E14" s="7">
        <f>$B14 * IFERROR(VLOOKUP("electricity|SO2|Minor restricted activity days", US_national_yearly!$D:$AM, 13, FALSE) / VLOOKUP("electricity|SO2|Minor restricted activity days", US_national_yearly!$D:$AM, 10, FALSE), 1)</f>
        <v>4.1395580915635624E-2</v>
      </c>
      <c r="F14" s="7">
        <f>$B14 * IFERROR(VLOOKUP("electricity|SO2|Minor restricted activity days", US_national_yearly!$D:$AM, 14, FALSE) / VLOOKUP("electricity|SO2|Minor restricted activity days", US_national_yearly!$D:$AM, 10, FALSE), 1)</f>
        <v>4.1498827667769904E-2</v>
      </c>
      <c r="G14" s="7">
        <f>$B14 * IFERROR(VLOOKUP("electricity|SO2|Minor restricted activity days", US_national_yearly!$D:$AM, 15, FALSE) / VLOOKUP("electricity|SO2|Minor restricted activity days", US_national_yearly!$D:$AM, 10, FALSE), 1)</f>
        <v>4.1647996903330722E-2</v>
      </c>
      <c r="H14" s="7">
        <f>$B14 * IFERROR(VLOOKUP("electricity|SO2|Minor restricted activity days", US_national_yearly!$D:$AM, 16, FALSE) / VLOOKUP("electricity|SO2|Minor restricted activity days", US_national_yearly!$D:$AM, 10, FALSE), 1)</f>
        <v>4.1797166138891548E-2</v>
      </c>
      <c r="I14" s="7">
        <f>$B14 * IFERROR(VLOOKUP("electricity|SO2|Minor restricted activity days", US_national_yearly!$D:$AM, 17, FALSE) / VLOOKUP("electricity|SO2|Minor restricted activity days", US_national_yearly!$D:$AM, 10, FALSE), 1)</f>
        <v>4.2053002862594668E-2</v>
      </c>
      <c r="J14" s="7">
        <f>$B14 * IFERROR(VLOOKUP("electricity|SO2|Minor restricted activity days", US_national_yearly!$D:$AM, 18, FALSE) / VLOOKUP("electricity|SO2|Minor restricted activity days", US_national_yearly!$D:$AM, 10, FALSE), 1)</f>
        <v>4.2308839586297796E-2</v>
      </c>
      <c r="K14" s="7">
        <f>$B14 * IFERROR(VLOOKUP("electricity|SO2|Minor restricted activity days", US_national_yearly!$D:$AM, 19, FALSE) / VLOOKUP("electricity|SO2|Minor restricted activity days", US_national_yearly!$D:$AM, 10, FALSE), 1)</f>
        <v>4.2564676310000923E-2</v>
      </c>
      <c r="L14" s="7">
        <f>$B14 * IFERROR(VLOOKUP("electricity|SO2|Minor restricted activity days", US_national_yearly!$D:$AM, 20, FALSE) / VLOOKUP("electricity|SO2|Minor restricted activity days", US_national_yearly!$D:$AM, 10, FALSE), 1)</f>
        <v>4.2820513033704058E-2</v>
      </c>
      <c r="M14" s="7">
        <f>$B14 * IFERROR(VLOOKUP("electricity|SO2|Minor restricted activity days", US_national_yearly!$D:$AM, 21, FALSE) / VLOOKUP("electricity|SO2|Minor restricted activity days", US_national_yearly!$D:$AM, 10, FALSE), 1)</f>
        <v>4.3076349757407185E-2</v>
      </c>
      <c r="N14" s="7">
        <f>$B14 * IFERROR(VLOOKUP("electricity|SO2|Minor restricted activity days", US_national_yearly!$D:$AM, 22, FALSE) / VLOOKUP("electricity|SO2|Minor restricted activity days", US_national_yearly!$D:$AM, 10, FALSE), 1)</f>
        <v>4.3428673880907147E-2</v>
      </c>
      <c r="O14" s="7">
        <f>$B14 * IFERROR(VLOOKUP("electricity|SO2|Minor restricted activity days", US_national_yearly!$D:$AM, 23, FALSE) / VLOOKUP("electricity|SO2|Minor restricted activity days", US_national_yearly!$D:$AM, 10, FALSE), 1)</f>
        <v>4.3780998004407108E-2</v>
      </c>
      <c r="P14" s="7">
        <f>$B14 * IFERROR(VLOOKUP("electricity|SO2|Minor restricted activity days", US_national_yearly!$D:$AM, 24, FALSE) / VLOOKUP("electricity|SO2|Minor restricted activity days", US_national_yearly!$D:$AM, 10, FALSE), 1)</f>
        <v>4.4133322127907063E-2</v>
      </c>
      <c r="Q14" s="7">
        <f>$B14 * IFERROR(VLOOKUP("electricity|SO2|Minor restricted activity days", US_national_yearly!$D:$AM, 25, FALSE) / VLOOKUP("electricity|SO2|Minor restricted activity days", US_national_yearly!$D:$AM, 10, FALSE), 1)</f>
        <v>4.4485646251407031E-2</v>
      </c>
      <c r="R14" s="7">
        <f>$B14 * IFERROR(VLOOKUP("electricity|SO2|Minor restricted activity days", US_national_yearly!$D:$AM, 26, FALSE) / VLOOKUP("electricity|SO2|Minor restricted activity days", US_national_yearly!$D:$AM, 10, FALSE), 1)</f>
        <v>4.4837970374906985E-2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4.5199158148423256E-2</v>
      </c>
      <c r="T14" s="7">
        <f>$B14 * IFERROR(VLOOKUP("electricity|SO2|Minor restricted activity days", US_national_yearly!$D:$AM, 28, FALSE) / VLOOKUP("electricity|SO2|Minor restricted activity days", US_national_yearly!$D:$AM, 10, FALSE), 1)</f>
        <v>4.556034592193952E-2</v>
      </c>
      <c r="U14" s="7">
        <f>$B14 * IFERROR(VLOOKUP("electricity|SO2|Minor restricted activity days", US_national_yearly!$D:$AM, 29, FALSE) / VLOOKUP("electricity|SO2|Minor restricted activity days", US_national_yearly!$D:$AM, 10, FALSE), 1)</f>
        <v>4.5921533695455777E-2</v>
      </c>
      <c r="V14" s="7">
        <f>$B14 * IFERROR(VLOOKUP("electricity|SO2|Minor restricted activity days", US_national_yearly!$D:$AM, 30, FALSE) / VLOOKUP("electricity|SO2|Minor restricted activity days", US_national_yearly!$D:$AM, 10, FALSE), 1)</f>
        <v>4.6282721468972048E-2</v>
      </c>
      <c r="W14" s="7">
        <f>$B14 * IFERROR(VLOOKUP("electricity|SO2|Minor restricted activity days", US_national_yearly!$D:$AM, 31, FALSE) / VLOOKUP("electricity|SO2|Minor restricted activity days", US_national_yearly!$D:$AM, 10, FALSE), 1)</f>
        <v>4.6643909242488311E-2</v>
      </c>
      <c r="X14" s="7">
        <f>$B14 * IFERROR(VLOOKUP("electricity|SO2|Minor restricted activity days", US_national_yearly!$D:$AM, 32, FALSE) / VLOOKUP("electricity|SO2|Minor restricted activity days", US_national_yearly!$D:$AM, 10, FALSE), 1)</f>
        <v>4.6961714897926991E-2</v>
      </c>
      <c r="Y14" s="7">
        <f>$B14 * IFERROR(VLOOKUP("electricity|SO2|Minor restricted activity days", US_national_yearly!$D:$AM, 33, FALSE) / VLOOKUP("electricity|SO2|Minor restricted activity days", US_national_yearly!$D:$AM, 10, FALSE), 1)</f>
        <v>4.7279520553365657E-2</v>
      </c>
      <c r="Z14" s="7">
        <f>$B14 * IFERROR(VLOOKUP("electricity|SO2|Minor restricted activity days", US_national_yearly!$D:$AM, 34, FALSE) / VLOOKUP("electricity|SO2|Minor restricted activity days", US_national_yearly!$D:$AM, 10, FALSE), 1)</f>
        <v>4.7597326208804323E-2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4.7915131864243003E-2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4.8232937519681669E-2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6.9176465212550924E-3</v>
      </c>
      <c r="C15" s="7">
        <f>$B15 * IFERROR(VLOOKUP("electricity|SO2|Work loss days", US_national_yearly!$D:$AM, 11, FALSE) / VLOOKUP("electricity|SO2|Work loss days", US_national_yearly!$D:$AM, 10, FALSE), 1)</f>
        <v>6.9400460699024901E-3</v>
      </c>
      <c r="D15" s="7">
        <f>$B15 * IFERROR(VLOOKUP("electricity|SO2|Work loss days", US_national_yearly!$D:$AM, 12, FALSE) / VLOOKUP("electricity|SO2|Work loss days", US_national_yearly!$D:$AM, 10, FALSE), 1)</f>
        <v>6.9624456185498878E-3</v>
      </c>
      <c r="E15" s="7">
        <f>$B15 * IFERROR(VLOOKUP("electricity|SO2|Work loss days", US_national_yearly!$D:$AM, 13, FALSE) / VLOOKUP("electricity|SO2|Work loss days", US_national_yearly!$D:$AM, 10, FALSE), 1)</f>
        <v>6.9848451671972872E-3</v>
      </c>
      <c r="F15" s="7">
        <f>$B15 * IFERROR(VLOOKUP("electricity|SO2|Work loss days", US_national_yearly!$D:$AM, 14, FALSE) / VLOOKUP("electricity|SO2|Work loss days", US_national_yearly!$D:$AM, 10, FALSE), 1)</f>
        <v>7.0072447158446858E-3</v>
      </c>
      <c r="G15" s="7">
        <f>$B15 * IFERROR(VLOOKUP("electricity|SO2|Work loss days", US_national_yearly!$D:$AM, 15, FALSE) / VLOOKUP("electricity|SO2|Work loss days", US_national_yearly!$D:$AM, 10, FALSE), 1)</f>
        <v>7.0359399256264806E-3</v>
      </c>
      <c r="H15" s="7">
        <f>$B15 * IFERROR(VLOOKUP("electricity|SO2|Work loss days", US_national_yearly!$D:$AM, 16, FALSE) / VLOOKUP("electricity|SO2|Work loss days", US_national_yearly!$D:$AM, 10, FALSE), 1)</f>
        <v>7.0646351354082754E-3</v>
      </c>
      <c r="I15" s="7">
        <f>$B15 * IFERROR(VLOOKUP("electricity|SO2|Work loss days", US_national_yearly!$D:$AM, 17, FALSE) / VLOOKUP("electricity|SO2|Work loss days", US_national_yearly!$D:$AM, 10, FALSE), 1)</f>
        <v>7.1066196027095617E-3</v>
      </c>
      <c r="J15" s="7">
        <f>$B15 * IFERROR(VLOOKUP("electricity|SO2|Work loss days", US_national_yearly!$D:$AM, 18, FALSE) / VLOOKUP("electricity|SO2|Work loss days", US_national_yearly!$D:$AM, 10, FALSE), 1)</f>
        <v>7.1486040700108463E-3</v>
      </c>
      <c r="K15" s="7">
        <f>$B15 * IFERROR(VLOOKUP("electricity|SO2|Work loss days", US_national_yearly!$D:$AM, 19, FALSE) / VLOOKUP("electricity|SO2|Work loss days", US_national_yearly!$D:$AM, 10, FALSE), 1)</f>
        <v>7.1905885373121344E-3</v>
      </c>
      <c r="L15" s="7">
        <f>$B15 * IFERROR(VLOOKUP("electricity|SO2|Work loss days", US_national_yearly!$D:$AM, 20, FALSE) / VLOOKUP("electricity|SO2|Work loss days", US_national_yearly!$D:$AM, 10, FALSE), 1)</f>
        <v>7.232573004613419E-3</v>
      </c>
      <c r="M15" s="7">
        <f>$B15 * IFERROR(VLOOKUP("electricity|SO2|Work loss days", US_national_yearly!$D:$AM, 21, FALSE) / VLOOKUP("electricity|SO2|Work loss days", US_national_yearly!$D:$AM, 10, FALSE), 1)</f>
        <v>7.274557471914707E-3</v>
      </c>
      <c r="N15" s="7">
        <f>$B15 * IFERROR(VLOOKUP("electricity|SO2|Work loss days", US_national_yearly!$D:$AM, 22, FALSE) / VLOOKUP("electricity|SO2|Work loss days", US_national_yearly!$D:$AM, 10, FALSE), 1)</f>
        <v>7.3276782643460622E-3</v>
      </c>
      <c r="O15" s="7">
        <f>$B15 * IFERROR(VLOOKUP("electricity|SO2|Work loss days", US_national_yearly!$D:$AM, 23, FALSE) / VLOOKUP("electricity|SO2|Work loss days", US_national_yearly!$D:$AM, 10, FALSE), 1)</f>
        <v>7.3807990567774182E-3</v>
      </c>
      <c r="P15" s="7">
        <f>$B15 * IFERROR(VLOOKUP("electricity|SO2|Work loss days", US_national_yearly!$D:$AM, 24, FALSE) / VLOOKUP("electricity|SO2|Work loss days", US_national_yearly!$D:$AM, 10, FALSE), 1)</f>
        <v>7.4339198492087743E-3</v>
      </c>
      <c r="Q15" s="7">
        <f>$B15 * IFERROR(VLOOKUP("electricity|SO2|Work loss days", US_national_yearly!$D:$AM, 25, FALSE) / VLOOKUP("electricity|SO2|Work loss days", US_national_yearly!$D:$AM, 10, FALSE), 1)</f>
        <v>7.4870406416401294E-3</v>
      </c>
      <c r="R15" s="7">
        <f>$B15 * IFERROR(VLOOKUP("electricity|SO2|Work loss days", US_national_yearly!$D:$AM, 26, FALSE) / VLOOKUP("electricity|SO2|Work loss days", US_national_yearly!$D:$AM, 10, FALSE), 1)</f>
        <v>7.5401614340714854E-3</v>
      </c>
      <c r="S15" s="7">
        <f>$B15 * IFERROR(VLOOKUP("electricity|SO2|Work loss days", US_national_yearly!$D:$AM, 27, FALSE) / VLOOKUP("electricity|SO2|Work loss days", US_national_yearly!$D:$AM, 10, FALSE), 1)</f>
        <v>7.5997147994633849E-3</v>
      </c>
      <c r="T15" s="7">
        <f>$B15 * IFERROR(VLOOKUP("electricity|SO2|Work loss days", US_national_yearly!$D:$AM, 28, FALSE) / VLOOKUP("electricity|SO2|Work loss days", US_national_yearly!$D:$AM, 10, FALSE), 1)</f>
        <v>7.6592681648552851E-3</v>
      </c>
      <c r="U15" s="7">
        <f>$B15 * IFERROR(VLOOKUP("electricity|SO2|Work loss days", US_national_yearly!$D:$AM, 29, FALSE) / VLOOKUP("electricity|SO2|Work loss days", US_national_yearly!$D:$AM, 10, FALSE), 1)</f>
        <v>7.7188215302471863E-3</v>
      </c>
      <c r="V15" s="7">
        <f>$B15 * IFERROR(VLOOKUP("electricity|SO2|Work loss days", US_national_yearly!$D:$AM, 30, FALSE) / VLOOKUP("electricity|SO2|Work loss days", US_national_yearly!$D:$AM, 10, FALSE), 1)</f>
        <v>7.7783748956390874E-3</v>
      </c>
      <c r="W15" s="7">
        <f>$B15 * IFERROR(VLOOKUP("electricity|SO2|Work loss days", US_national_yearly!$D:$AM, 31, FALSE) / VLOOKUP("electricity|SO2|Work loss days", US_national_yearly!$D:$AM, 10, FALSE), 1)</f>
        <v>7.8379282610309877E-3</v>
      </c>
      <c r="X15" s="7">
        <f>$B15 * IFERROR(VLOOKUP("electricity|SO2|Work loss days", US_national_yearly!$D:$AM, 32, FALSE) / VLOOKUP("electricity|SO2|Work loss days", US_national_yearly!$D:$AM, 10, FALSE), 1)</f>
        <v>7.8915799530714561E-3</v>
      </c>
      <c r="Y15" s="7">
        <f>$B15 * IFERROR(VLOOKUP("electricity|SO2|Work loss days", US_national_yearly!$D:$AM, 33, FALSE) / VLOOKUP("electricity|SO2|Work loss days", US_national_yearly!$D:$AM, 10, FALSE), 1)</f>
        <v>7.9452316451119245E-3</v>
      </c>
      <c r="Z15" s="7">
        <f>$B15 * IFERROR(VLOOKUP("electricity|SO2|Work loss days", US_national_yearly!$D:$AM, 34, FALSE) / VLOOKUP("electricity|SO2|Work loss days", US_national_yearly!$D:$AM, 10, FALSE), 1)</f>
        <v>7.9988833371523911E-3</v>
      </c>
      <c r="AA15" s="7">
        <f>$B15 * IFERROR(VLOOKUP("electricity|SO2|Work loss days", US_national_yearly!$D:$AM, 35, FALSE) / VLOOKUP("electricity|SO2|Work loss days", US_national_yearly!$D:$AM, 10, FALSE), 1)</f>
        <v>8.0525350291928595E-3</v>
      </c>
      <c r="AB15" s="7">
        <f>$B15 * IFERROR(VLOOKUP("electricity|SO2|Work loss days", US_national_yearly!$D:$AM, 36, FALSE) / VLOOKUP("electricity|SO2|Work loss days", US_national_yearly!$D:$AM, 10, FALSE), 1)</f>
        <v>8.1061867212333279E-3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1.7691399172423008E-5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1.8227497746288139E-5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1.8763596320153274E-5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1.9299694894018408E-5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1.9835793467883543E-5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2.0352558332057618E-5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2.0869323196231699E-5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2.1316707488791534E-5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2.1764091781351372E-5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2.2211476073911207E-5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2.2658860366471042E-5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2.3106244659030877E-5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2.3411583245924376E-5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2.3716921832817875E-5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2.4022260419711381E-5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2.432759900660488E-5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2.4632937593498378E-5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2.4800329800443252E-5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2.4967722007388121E-5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2.5135114214332994E-5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2.5302506421277864E-5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2.546989862822273E-5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2.5585447430008743E-5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2.5700996231794749E-5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2.5816545033580759E-5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2.5932093835366765E-5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2.6047642637152775E-5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6.9464078150329109E-3</v>
      </c>
      <c r="C2" s="7">
        <f>$B2 * IFERROR(VLOOKUP("buildings|PM25|Premature mortality", US_national_yearly!$D:$AM, 11, FALSE) / VLOOKUP("buildings|PM25|Premature mortality", US_national_yearly!$D:$AM, 10, FALSE), 1)</f>
        <v>7.0325904270418628E-3</v>
      </c>
      <c r="D2" s="7">
        <f>$B2 * IFERROR(VLOOKUP("buildings|PM25|Premature mortality", US_national_yearly!$D:$AM, 12, FALSE) / VLOOKUP("buildings|PM25|Premature mortality", US_national_yearly!$D:$AM, 10, FALSE), 1)</f>
        <v>7.1187730390508139E-3</v>
      </c>
      <c r="E2" s="7">
        <f>$B2 * IFERROR(VLOOKUP("buildings|PM25|Premature mortality", US_national_yearly!$D:$AM, 13, FALSE) / VLOOKUP("buildings|PM25|Premature mortality", US_national_yearly!$D:$AM, 10, FALSE), 1)</f>
        <v>7.2049556510597659E-3</v>
      </c>
      <c r="F2" s="7">
        <f>$B2 * IFERROR(VLOOKUP("buildings|PM25|Premature mortality", US_national_yearly!$D:$AM, 14, FALSE) / VLOOKUP("buildings|PM25|Premature mortality", US_national_yearly!$D:$AM, 10, FALSE), 1)</f>
        <v>7.2911382630687178E-3</v>
      </c>
      <c r="G2" s="7">
        <f>$B2 * IFERROR(VLOOKUP("buildings|PM25|Premature mortality", US_national_yearly!$D:$AM, 15, FALSE) / VLOOKUP("buildings|PM25|Premature mortality", US_national_yearly!$D:$AM, 10, FALSE), 1)</f>
        <v>7.4589534822111997E-3</v>
      </c>
      <c r="H2" s="7">
        <f>$B2 * IFERROR(VLOOKUP("buildings|PM25|Premature mortality", US_national_yearly!$D:$AM, 16, FALSE) / VLOOKUP("buildings|PM25|Premature mortality", US_national_yearly!$D:$AM, 10, FALSE), 1)</f>
        <v>7.6267687013536825E-3</v>
      </c>
      <c r="I2" s="7">
        <f>$B2 * IFERROR(VLOOKUP("buildings|PM25|Premature mortality", US_national_yearly!$D:$AM, 17, FALSE) / VLOOKUP("buildings|PM25|Premature mortality", US_national_yearly!$D:$AM, 10, FALSE), 1)</f>
        <v>7.7371378805283957E-3</v>
      </c>
      <c r="J2" s="7">
        <f>$B2 * IFERROR(VLOOKUP("buildings|PM25|Premature mortality", US_national_yearly!$D:$AM, 18, FALSE) / VLOOKUP("buildings|PM25|Premature mortality", US_national_yearly!$D:$AM, 10, FALSE), 1)</f>
        <v>7.8475070597031071E-3</v>
      </c>
      <c r="K2" s="7">
        <f>$B2 * IFERROR(VLOOKUP("buildings|PM25|Premature mortality", US_national_yearly!$D:$AM, 19, FALSE) / VLOOKUP("buildings|PM25|Premature mortality", US_national_yearly!$D:$AM, 10, FALSE), 1)</f>
        <v>7.9578762388778212E-3</v>
      </c>
      <c r="L2" s="7">
        <f>$B2 * IFERROR(VLOOKUP("buildings|PM25|Premature mortality", US_national_yearly!$D:$AM, 20, FALSE) / VLOOKUP("buildings|PM25|Premature mortality", US_national_yearly!$D:$AM, 10, FALSE), 1)</f>
        <v>8.0682454180525335E-3</v>
      </c>
      <c r="M2" s="7">
        <f>$B2 * IFERROR(VLOOKUP("buildings|PM25|Premature mortality", US_national_yearly!$D:$AM, 21, FALSE) / VLOOKUP("buildings|PM25|Premature mortality", US_national_yearly!$D:$AM, 10, FALSE), 1)</f>
        <v>8.1786145972272458E-3</v>
      </c>
      <c r="N2" s="7">
        <f>$B2 * IFERROR(VLOOKUP("buildings|PM25|Premature mortality", US_national_yearly!$D:$AM, 22, FALSE) / VLOOKUP("buildings|PM25|Premature mortality", US_national_yearly!$D:$AM, 10, FALSE), 1)</f>
        <v>8.2644389006661673E-3</v>
      </c>
      <c r="O2" s="7">
        <f>$B2 * IFERROR(VLOOKUP("buildings|PM25|Premature mortality", US_national_yearly!$D:$AM, 23, FALSE) / VLOOKUP("buildings|PM25|Premature mortality", US_national_yearly!$D:$AM, 10, FALSE), 1)</f>
        <v>8.3502632041050906E-3</v>
      </c>
      <c r="P2" s="7">
        <f>$B2 * IFERROR(VLOOKUP("buildings|PM25|Premature mortality", US_national_yearly!$D:$AM, 24, FALSE) / VLOOKUP("buildings|PM25|Premature mortality", US_national_yearly!$D:$AM, 10, FALSE), 1)</f>
        <v>8.4360875075440104E-3</v>
      </c>
      <c r="Q2" s="7">
        <f>$B2 * IFERROR(VLOOKUP("buildings|PM25|Premature mortality", US_national_yearly!$D:$AM, 25, FALSE) / VLOOKUP("buildings|PM25|Premature mortality", US_national_yearly!$D:$AM, 10, FALSE), 1)</f>
        <v>8.5219118109829354E-3</v>
      </c>
      <c r="R2" s="7">
        <f>$B2 * IFERROR(VLOOKUP("buildings|PM25|Premature mortality", US_national_yearly!$D:$AM, 26, FALSE) / VLOOKUP("buildings|PM25|Premature mortality", US_national_yearly!$D:$AM, 10, FALSE), 1)</f>
        <v>8.6077361144218569E-3</v>
      </c>
      <c r="S2" s="7">
        <f>$B2 * IFERROR(VLOOKUP("buildings|PM25|Premature mortality", US_national_yearly!$D:$AM, 27, FALSE) / VLOOKUP("buildings|PM25|Premature mortality", US_national_yearly!$D:$AM, 10, FALSE), 1)</f>
        <v>8.6533525841819593E-3</v>
      </c>
      <c r="T2" s="7">
        <f>$B2 * IFERROR(VLOOKUP("buildings|PM25|Premature mortality", US_national_yearly!$D:$AM, 28, FALSE) / VLOOKUP("buildings|PM25|Premature mortality", US_national_yearly!$D:$AM, 10, FALSE), 1)</f>
        <v>8.6989690539420617E-3</v>
      </c>
      <c r="U2" s="7">
        <f>$B2 * IFERROR(VLOOKUP("buildings|PM25|Premature mortality", US_national_yearly!$D:$AM, 29, FALSE) / VLOOKUP("buildings|PM25|Premature mortality", US_national_yearly!$D:$AM, 10, FALSE), 1)</f>
        <v>8.7445855237021659E-3</v>
      </c>
      <c r="V2" s="7">
        <f>$B2 * IFERROR(VLOOKUP("buildings|PM25|Premature mortality", US_national_yearly!$D:$AM, 30, FALSE) / VLOOKUP("buildings|PM25|Premature mortality", US_national_yearly!$D:$AM, 10, FALSE), 1)</f>
        <v>8.7902019934622683E-3</v>
      </c>
      <c r="W2" s="7">
        <f>$B2 * IFERROR(VLOOKUP("buildings|PM25|Premature mortality", US_national_yearly!$D:$AM, 31, FALSE) / VLOOKUP("buildings|PM25|Premature mortality", US_national_yearly!$D:$AM, 10, FALSE), 1)</f>
        <v>8.8358184632223707E-3</v>
      </c>
      <c r="X2" s="7">
        <f>$B2 * IFERROR(VLOOKUP("buildings|PM25|Premature mortality", US_national_yearly!$D:$AM, 32, FALSE) / VLOOKUP("buildings|PM25|Premature mortality", US_national_yearly!$D:$AM, 10, FALSE), 1)</f>
        <v>8.8440062533277491E-3</v>
      </c>
      <c r="Y2" s="7">
        <f>$B2 * IFERROR(VLOOKUP("buildings|PM25|Premature mortality", US_national_yearly!$D:$AM, 33, FALSE) / VLOOKUP("buildings|PM25|Premature mortality", US_national_yearly!$D:$AM, 10, FALSE), 1)</f>
        <v>8.8521940434331259E-3</v>
      </c>
      <c r="Z2" s="7">
        <f>$B2 * IFERROR(VLOOKUP("buildings|PM25|Premature mortality", US_national_yearly!$D:$AM, 34, FALSE) / VLOOKUP("buildings|PM25|Premature mortality", US_national_yearly!$D:$AM, 10, FALSE), 1)</f>
        <v>8.8603818335385044E-3</v>
      </c>
      <c r="AA2" s="7">
        <f>$B2 * IFERROR(VLOOKUP("buildings|PM25|Premature mortality", US_national_yearly!$D:$AM, 35, FALSE) / VLOOKUP("buildings|PM25|Premature mortality", US_national_yearly!$D:$AM, 10, FALSE), 1)</f>
        <v>8.8685696236438846E-3</v>
      </c>
      <c r="AB2" s="7">
        <f>$B2 * IFERROR(VLOOKUP("buildings|PM25|Premature mortality", US_national_yearly!$D:$AM, 36, FALSE) / VLOOKUP("buildings|PM25|Premature mortality", US_national_yearly!$D:$AM, 10, FALSE), 1)</f>
        <v>8.8767574137492613E-3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2.0386365638259922E-5</v>
      </c>
      <c r="C3" s="7">
        <f>$B3 * IFERROR(VLOOKUP("buildings|PM25|Infant mortality", US_national_yearly!$D:$AM, 11, FALSE) / VLOOKUP("buildings|PM25|Infant mortality", US_national_yearly!$D:$AM, 10, FALSE), 1)</f>
        <v>2.0209786733792085E-5</v>
      </c>
      <c r="D3" s="7">
        <f>$B3 * IFERROR(VLOOKUP("buildings|PM25|Infant mortality", US_national_yearly!$D:$AM, 12, FALSE) / VLOOKUP("buildings|PM25|Infant mortality", US_national_yearly!$D:$AM, 10, FALSE), 1)</f>
        <v>2.0033207829324249E-5</v>
      </c>
      <c r="E3" s="7">
        <f>$B3 * IFERROR(VLOOKUP("buildings|PM25|Infant mortality", US_national_yearly!$D:$AM, 13, FALSE) / VLOOKUP("buildings|PM25|Infant mortality", US_national_yearly!$D:$AM, 10, FALSE), 1)</f>
        <v>1.9856628924856412E-5</v>
      </c>
      <c r="F3" s="7">
        <f>$B3 * IFERROR(VLOOKUP("buildings|PM25|Infant mortality", US_national_yearly!$D:$AM, 14, FALSE) / VLOOKUP("buildings|PM25|Infant mortality", US_national_yearly!$D:$AM, 10, FALSE), 1)</f>
        <v>1.9680050020388576E-5</v>
      </c>
      <c r="G3" s="7">
        <f>$B3 * IFERROR(VLOOKUP("buildings|PM25|Infant mortality", US_national_yearly!$D:$AM, 15, FALSE) / VLOOKUP("buildings|PM25|Infant mortality", US_national_yearly!$D:$AM, 10, FALSE), 1)</f>
        <v>1.3086519287575334E-5</v>
      </c>
      <c r="H3" s="7">
        <f>$B3 * IFERROR(VLOOKUP("buildings|PM25|Infant mortality", US_national_yearly!$D:$AM, 16, FALSE) / VLOOKUP("buildings|PM25|Infant mortality", US_national_yearly!$D:$AM, 10, FALSE), 1)</f>
        <v>6.4929885547620918E-6</v>
      </c>
      <c r="I3" s="7">
        <f>$B3 * IFERROR(VLOOKUP("buildings|PM25|Infant mortality", US_national_yearly!$D:$AM, 17, FALSE) / VLOOKUP("buildings|PM25|Infant mortality", US_national_yearly!$D:$AM, 10, FALSE), 1)</f>
        <v>6.4506776075828837E-6</v>
      </c>
      <c r="J3" s="7">
        <f>$B3 * IFERROR(VLOOKUP("buildings|PM25|Infant mortality", US_national_yearly!$D:$AM, 18, FALSE) / VLOOKUP("buildings|PM25|Infant mortality", US_national_yearly!$D:$AM, 10, FALSE), 1)</f>
        <v>6.4083666604036757E-6</v>
      </c>
      <c r="K3" s="7">
        <f>$B3 * IFERROR(VLOOKUP("buildings|PM25|Infant mortality", US_national_yearly!$D:$AM, 19, FALSE) / VLOOKUP("buildings|PM25|Infant mortality", US_national_yearly!$D:$AM, 10, FALSE), 1)</f>
        <v>6.3660557132244676E-6</v>
      </c>
      <c r="L3" s="7">
        <f>$B3 * IFERROR(VLOOKUP("buildings|PM25|Infant mortality", US_national_yearly!$D:$AM, 20, FALSE) / VLOOKUP("buildings|PM25|Infant mortality", US_national_yearly!$D:$AM, 10, FALSE), 1)</f>
        <v>6.3237447660452596E-6</v>
      </c>
      <c r="M3" s="7">
        <f>$B3 * IFERROR(VLOOKUP("buildings|PM25|Infant mortality", US_national_yearly!$D:$AM, 21, FALSE) / VLOOKUP("buildings|PM25|Infant mortality", US_national_yearly!$D:$AM, 10, FALSE), 1)</f>
        <v>6.2814338188660516E-6</v>
      </c>
      <c r="N3" s="7">
        <f>$B3 * IFERROR(VLOOKUP("buildings|PM25|Infant mortality", US_national_yearly!$D:$AM, 22, FALSE) / VLOOKUP("buildings|PM25|Infant mortality", US_national_yearly!$D:$AM, 10, FALSE), 1)</f>
        <v>6.2549600407988716E-6</v>
      </c>
      <c r="O3" s="7">
        <f>$B3 * IFERROR(VLOOKUP("buildings|PM25|Infant mortality", US_national_yearly!$D:$AM, 23, FALSE) / VLOOKUP("buildings|PM25|Infant mortality", US_national_yearly!$D:$AM, 10, FALSE), 1)</f>
        <v>6.2284862627316917E-6</v>
      </c>
      <c r="P3" s="7">
        <f>$B3 * IFERROR(VLOOKUP("buildings|PM25|Infant mortality", US_national_yearly!$D:$AM, 24, FALSE) / VLOOKUP("buildings|PM25|Infant mortality", US_national_yearly!$D:$AM, 10, FALSE), 1)</f>
        <v>6.2020124846645118E-6</v>
      </c>
      <c r="Q3" s="7">
        <f>$B3 * IFERROR(VLOOKUP("buildings|PM25|Infant mortality", US_national_yearly!$D:$AM, 25, FALSE) / VLOOKUP("buildings|PM25|Infant mortality", US_national_yearly!$D:$AM, 10, FALSE), 1)</f>
        <v>6.175538706597331E-6</v>
      </c>
      <c r="R3" s="7">
        <f>$B3 * IFERROR(VLOOKUP("buildings|PM25|Infant mortality", US_national_yearly!$D:$AM, 26, FALSE) / VLOOKUP("buildings|PM25|Infant mortality", US_national_yearly!$D:$AM, 10, FALSE), 1)</f>
        <v>6.1490649285301511E-6</v>
      </c>
      <c r="S3" s="7">
        <f>$B3 * IFERROR(VLOOKUP("buildings|PM25|Infant mortality", US_national_yearly!$D:$AM, 27, FALSE) / VLOOKUP("buildings|PM25|Infant mortality", US_national_yearly!$D:$AM, 10, FALSE), 1)</f>
        <v>6.1160105962079452E-6</v>
      </c>
      <c r="T3" s="7">
        <f>$B3 * IFERROR(VLOOKUP("buildings|PM25|Infant mortality", US_national_yearly!$D:$AM, 28, FALSE) / VLOOKUP("buildings|PM25|Infant mortality", US_national_yearly!$D:$AM, 10, FALSE), 1)</f>
        <v>6.082956263885741E-6</v>
      </c>
      <c r="U3" s="7">
        <f>$B3 * IFERROR(VLOOKUP("buildings|PM25|Infant mortality", US_national_yearly!$D:$AM, 29, FALSE) / VLOOKUP("buildings|PM25|Infant mortality", US_national_yearly!$D:$AM, 10, FALSE), 1)</f>
        <v>6.0499019315635342E-6</v>
      </c>
      <c r="V3" s="7">
        <f>$B3 * IFERROR(VLOOKUP("buildings|PM25|Infant mortality", US_national_yearly!$D:$AM, 30, FALSE) / VLOOKUP("buildings|PM25|Infant mortality", US_national_yearly!$D:$AM, 10, FALSE), 1)</f>
        <v>6.01684759924133E-6</v>
      </c>
      <c r="W3" s="7">
        <f>$B3 * IFERROR(VLOOKUP("buildings|PM25|Infant mortality", US_national_yearly!$D:$AM, 31, FALSE) / VLOOKUP("buildings|PM25|Infant mortality", US_national_yearly!$D:$AM, 10, FALSE), 1)</f>
        <v>5.9837932669191241E-6</v>
      </c>
      <c r="X3" s="7">
        <f>$B3 * IFERROR(VLOOKUP("buildings|PM25|Infant mortality", US_national_yearly!$D:$AM, 32, FALSE) / VLOOKUP("buildings|PM25|Infant mortality", US_national_yearly!$D:$AM, 10, FALSE), 1)</f>
        <v>5.9482060223022824E-6</v>
      </c>
      <c r="Y3" s="7">
        <f>$B3 * IFERROR(VLOOKUP("buildings|PM25|Infant mortality", US_national_yearly!$D:$AM, 33, FALSE) / VLOOKUP("buildings|PM25|Infant mortality", US_national_yearly!$D:$AM, 10, FALSE), 1)</f>
        <v>5.9126187776854425E-6</v>
      </c>
      <c r="Z3" s="7">
        <f>$B3 * IFERROR(VLOOKUP("buildings|PM25|Infant mortality", US_national_yearly!$D:$AM, 34, FALSE) / VLOOKUP("buildings|PM25|Infant mortality", US_national_yearly!$D:$AM, 10, FALSE), 1)</f>
        <v>5.8770315330686009E-6</v>
      </c>
      <c r="AA3" s="7">
        <f>$B3 * IFERROR(VLOOKUP("buildings|PM25|Infant mortality", US_national_yearly!$D:$AM, 35, FALSE) / VLOOKUP("buildings|PM25|Infant mortality", US_national_yearly!$D:$AM, 10, FALSE), 1)</f>
        <v>5.8414442884517602E-6</v>
      </c>
      <c r="AB3" s="7">
        <f>$B3 * IFERROR(VLOOKUP("buildings|PM25|Infant mortality", US_national_yearly!$D:$AM, 36, FALSE) / VLOOKUP("buildings|PM25|Infant mortality", US_national_yearly!$D:$AM, 10, FALSE), 1)</f>
        <v>5.8058570438349194E-6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1.654774591747963E-2</v>
      </c>
      <c r="C6" s="7">
        <f>$B6 * IFERROR(VLOOKUP("buildings|PM25|Asthma symptoms cough", US_national_yearly!$D:$AM, 11, FALSE) / VLOOKUP("buildings|PM25|Asthma symptoms cough", US_national_yearly!$D:$AM, 10, FALSE), 1)</f>
        <v>1.654774591747963E-2</v>
      </c>
      <c r="D6" s="7">
        <f>$B6 * IFERROR(VLOOKUP("buildings|PM25|Asthma symptoms cough", US_national_yearly!$D:$AM, 12, FALSE) / VLOOKUP("buildings|PM25|Asthma symptoms cough", US_national_yearly!$D:$AM, 10, FALSE), 1)</f>
        <v>1.654774591747963E-2</v>
      </c>
      <c r="E6" s="7">
        <f>$B6 * IFERROR(VLOOKUP("buildings|PM25|Asthma symptoms cough", US_national_yearly!$D:$AM, 13, FALSE) / VLOOKUP("buildings|PM25|Asthma symptoms cough", US_national_yearly!$D:$AM, 10, FALSE), 1)</f>
        <v>1.654774591747963E-2</v>
      </c>
      <c r="F6" s="7">
        <f>$B6 * IFERROR(VLOOKUP("buildings|PM25|Asthma symptoms cough", US_national_yearly!$D:$AM, 14, FALSE) / VLOOKUP("buildings|PM25|Asthma symptoms cough", US_national_yearly!$D:$AM, 10, FALSE), 1)</f>
        <v>1.654774591747963E-2</v>
      </c>
      <c r="G6" s="7">
        <f>$B6 * IFERROR(VLOOKUP("buildings|PM25|Asthma symptoms cough", US_national_yearly!$D:$AM, 15, FALSE) / VLOOKUP("buildings|PM25|Asthma symptoms cough", US_national_yearly!$D:$AM, 10, FALSE), 1)</f>
        <v>1.654774591747963E-2</v>
      </c>
      <c r="H6" s="7">
        <f>$B6 * IFERROR(VLOOKUP("buildings|PM25|Asthma symptoms cough", US_national_yearly!$D:$AM, 16, FALSE) / VLOOKUP("buildings|PM25|Asthma symptoms cough", US_national_yearly!$D:$AM, 10, FALSE), 1)</f>
        <v>1.654774591747963E-2</v>
      </c>
      <c r="I6" s="7">
        <f>$B6 * IFERROR(VLOOKUP("buildings|PM25|Asthma symptoms cough", US_national_yearly!$D:$AM, 17, FALSE) / VLOOKUP("buildings|PM25|Asthma symptoms cough", US_national_yearly!$D:$AM, 10, FALSE), 1)</f>
        <v>1.654774591747963E-2</v>
      </c>
      <c r="J6" s="7">
        <f>$B6 * IFERROR(VLOOKUP("buildings|PM25|Asthma symptoms cough", US_national_yearly!$D:$AM, 18, FALSE) / VLOOKUP("buildings|PM25|Asthma symptoms cough", US_national_yearly!$D:$AM, 10, FALSE), 1)</f>
        <v>1.654774591747963E-2</v>
      </c>
      <c r="K6" s="7">
        <f>$B6 * IFERROR(VLOOKUP("buildings|PM25|Asthma symptoms cough", US_national_yearly!$D:$AM, 19, FALSE) / VLOOKUP("buildings|PM25|Asthma symptoms cough", US_national_yearly!$D:$AM, 10, FALSE), 1)</f>
        <v>1.654774591747963E-2</v>
      </c>
      <c r="L6" s="7">
        <f>$B6 * IFERROR(VLOOKUP("buildings|PM25|Asthma symptoms cough", US_national_yearly!$D:$AM, 20, FALSE) / VLOOKUP("buildings|PM25|Asthma symptoms cough", US_national_yearly!$D:$AM, 10, FALSE), 1)</f>
        <v>1.654774591747963E-2</v>
      </c>
      <c r="M6" s="7">
        <f>$B6 * IFERROR(VLOOKUP("buildings|PM25|Asthma symptoms cough", US_national_yearly!$D:$AM, 21, FALSE) / VLOOKUP("buildings|PM25|Asthma symptoms cough", US_national_yearly!$D:$AM, 10, FALSE), 1)</f>
        <v>1.654774591747963E-2</v>
      </c>
      <c r="N6" s="7">
        <f>$B6 * IFERROR(VLOOKUP("buildings|PM25|Asthma symptoms cough", US_national_yearly!$D:$AM, 22, FALSE) / VLOOKUP("buildings|PM25|Asthma symptoms cough", US_national_yearly!$D:$AM, 10, FALSE), 1)</f>
        <v>1.654774591747963E-2</v>
      </c>
      <c r="O6" s="7">
        <f>$B6 * IFERROR(VLOOKUP("buildings|PM25|Asthma symptoms cough", US_national_yearly!$D:$AM, 23, FALSE) / VLOOKUP("buildings|PM25|Asthma symptoms cough", US_national_yearly!$D:$AM, 10, FALSE), 1)</f>
        <v>1.654774591747963E-2</v>
      </c>
      <c r="P6" s="7">
        <f>$B6 * IFERROR(VLOOKUP("buildings|PM25|Asthma symptoms cough", US_national_yearly!$D:$AM, 24, FALSE) / VLOOKUP("buildings|PM25|Asthma symptoms cough", US_national_yearly!$D:$AM, 10, FALSE), 1)</f>
        <v>1.654774591747963E-2</v>
      </c>
      <c r="Q6" s="7">
        <f>$B6 * IFERROR(VLOOKUP("buildings|PM25|Asthma symptoms cough", US_national_yearly!$D:$AM, 25, FALSE) / VLOOKUP("buildings|PM25|Asthma symptoms cough", US_national_yearly!$D:$AM, 10, FALSE), 1)</f>
        <v>1.654774591747963E-2</v>
      </c>
      <c r="R6" s="7">
        <f>$B6 * IFERROR(VLOOKUP("buildings|PM25|Asthma symptoms cough", US_national_yearly!$D:$AM, 26, FALSE) / VLOOKUP("buildings|PM25|Asthma symptoms cough", US_national_yearly!$D:$AM, 10, FALSE), 1)</f>
        <v>1.654774591747963E-2</v>
      </c>
      <c r="S6" s="7">
        <f>$B6 * IFERROR(VLOOKUP("buildings|PM25|Asthma symptoms cough", US_national_yearly!$D:$AM, 27, FALSE) / VLOOKUP("buildings|PM25|Asthma symptoms cough", US_national_yearly!$D:$AM, 10, FALSE), 1)</f>
        <v>1.654774591747963E-2</v>
      </c>
      <c r="T6" s="7">
        <f>$B6 * IFERROR(VLOOKUP("buildings|PM25|Asthma symptoms cough", US_national_yearly!$D:$AM, 28, FALSE) / VLOOKUP("buildings|PM25|Asthma symptoms cough", US_national_yearly!$D:$AM, 10, FALSE), 1)</f>
        <v>1.654774591747963E-2</v>
      </c>
      <c r="U6" s="7">
        <f>$B6 * IFERROR(VLOOKUP("buildings|PM25|Asthma symptoms cough", US_national_yearly!$D:$AM, 29, FALSE) / VLOOKUP("buildings|PM25|Asthma symptoms cough", US_national_yearly!$D:$AM, 10, FALSE), 1)</f>
        <v>1.654774591747963E-2</v>
      </c>
      <c r="V6" s="7">
        <f>$B6 * IFERROR(VLOOKUP("buildings|PM25|Asthma symptoms cough", US_national_yearly!$D:$AM, 30, FALSE) / VLOOKUP("buildings|PM25|Asthma symptoms cough", US_national_yearly!$D:$AM, 10, FALSE), 1)</f>
        <v>1.654774591747963E-2</v>
      </c>
      <c r="W6" s="7">
        <f>$B6 * IFERROR(VLOOKUP("buildings|PM25|Asthma symptoms cough", US_national_yearly!$D:$AM, 31, FALSE) / VLOOKUP("buildings|PM25|Asthma symptoms cough", US_national_yearly!$D:$AM, 10, FALSE), 1)</f>
        <v>1.654774591747963E-2</v>
      </c>
      <c r="X6" s="7">
        <f>$B6 * IFERROR(VLOOKUP("buildings|PM25|Asthma symptoms cough", US_national_yearly!$D:$AM, 32, FALSE) / VLOOKUP("buildings|PM25|Asthma symptoms cough", US_national_yearly!$D:$AM, 10, FALSE), 1)</f>
        <v>1.654774591747963E-2</v>
      </c>
      <c r="Y6" s="7">
        <f>$B6 * IFERROR(VLOOKUP("buildings|PM25|Asthma symptoms cough", US_national_yearly!$D:$AM, 33, FALSE) / VLOOKUP("buildings|PM25|Asthma symptoms cough", US_national_yearly!$D:$AM, 10, FALSE), 1)</f>
        <v>1.654774591747963E-2</v>
      </c>
      <c r="Z6" s="7">
        <f>$B6 * IFERROR(VLOOKUP("buildings|PM25|Asthma symptoms cough", US_national_yearly!$D:$AM, 34, FALSE) / VLOOKUP("buildings|PM25|Asthma symptoms cough", US_national_yearly!$D:$AM, 10, FALSE), 1)</f>
        <v>1.654774591747963E-2</v>
      </c>
      <c r="AA6" s="7">
        <f>$B6 * IFERROR(VLOOKUP("buildings|PM25|Asthma symptoms cough", US_national_yearly!$D:$AM, 35, FALSE) / VLOOKUP("buildings|PM25|Asthma symptoms cough", US_national_yearly!$D:$AM, 10, FALSE), 1)</f>
        <v>1.654774591747963E-2</v>
      </c>
      <c r="AB6" s="7">
        <f>$B6 * IFERROR(VLOOKUP("buildings|PM25|Asthma symptoms cough", US_national_yearly!$D:$AM, 36, FALSE) / VLOOKUP("buildings|PM25|Asthma symptoms cough", US_national_yearly!$D:$AM, 10, FALSE), 1)</f>
        <v>1.654774591747963E-2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2.2283968675805232E-2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2.2283968675805232E-2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2.2283968675805232E-2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2.2283968675805232E-2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2.2283968675805232E-2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2.2283968675805232E-2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2.2283968675805232E-2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2.2283968675805232E-2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2.2283968675805232E-2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2.2283968675805232E-2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2.2283968675805232E-2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2.2283968675805232E-2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2.2283968675805232E-2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2.2283968675805232E-2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2.2283968675805232E-2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2.2283968675805232E-2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2.2283968675805232E-2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2.2283968675805232E-2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2.2283968675805232E-2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2.2283968675805232E-2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2.2283968675805232E-2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2.2283968675805232E-2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2.2283968675805232E-2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2.2283968675805232E-2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2.2283968675805232E-2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2.2283968675805232E-2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2.2283968675805232E-2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3.4046029430158088E-2</v>
      </c>
      <c r="C8" s="7">
        <f>$B8 * IFERROR(VLOOKUP("buildings|PM25|Asthma symptoms wheeze", US_national_yearly!$D:$AM, 11, FALSE) / VLOOKUP("buildings|PM25|Asthma symptoms wheeze", US_national_yearly!$D:$AM, 10, FALSE), 1)</f>
        <v>3.4046029430158088E-2</v>
      </c>
      <c r="D8" s="7">
        <f>$B8 * IFERROR(VLOOKUP("buildings|PM25|Asthma symptoms wheeze", US_national_yearly!$D:$AM, 12, FALSE) / VLOOKUP("buildings|PM25|Asthma symptoms wheeze", US_national_yearly!$D:$AM, 10, FALSE), 1)</f>
        <v>3.4046029430158088E-2</v>
      </c>
      <c r="E8" s="7">
        <f>$B8 * IFERROR(VLOOKUP("buildings|PM25|Asthma symptoms wheeze", US_national_yearly!$D:$AM, 13, FALSE) / VLOOKUP("buildings|PM25|Asthma symptoms wheeze", US_national_yearly!$D:$AM, 10, FALSE), 1)</f>
        <v>3.4046029430158088E-2</v>
      </c>
      <c r="F8" s="7">
        <f>$B8 * IFERROR(VLOOKUP("buildings|PM25|Asthma symptoms wheeze", US_national_yearly!$D:$AM, 14, FALSE) / VLOOKUP("buildings|PM25|Asthma symptoms wheeze", US_national_yearly!$D:$AM, 10, FALSE), 1)</f>
        <v>3.4046029430158088E-2</v>
      </c>
      <c r="G8" s="7">
        <f>$B8 * IFERROR(VLOOKUP("buildings|PM25|Asthma symptoms wheeze", US_national_yearly!$D:$AM, 15, FALSE) / VLOOKUP("buildings|PM25|Asthma symptoms wheeze", US_national_yearly!$D:$AM, 10, FALSE), 1)</f>
        <v>3.4046029430158088E-2</v>
      </c>
      <c r="H8" s="7">
        <f>$B8 * IFERROR(VLOOKUP("buildings|PM25|Asthma symptoms wheeze", US_national_yearly!$D:$AM, 16, FALSE) / VLOOKUP("buildings|PM25|Asthma symptoms wheeze", US_national_yearly!$D:$AM, 10, FALSE), 1)</f>
        <v>3.4046029430158088E-2</v>
      </c>
      <c r="I8" s="7">
        <f>$B8 * IFERROR(VLOOKUP("buildings|PM25|Asthma symptoms wheeze", US_national_yearly!$D:$AM, 17, FALSE) / VLOOKUP("buildings|PM25|Asthma symptoms wheeze", US_national_yearly!$D:$AM, 10, FALSE), 1)</f>
        <v>3.4046029430158088E-2</v>
      </c>
      <c r="J8" s="7">
        <f>$B8 * IFERROR(VLOOKUP("buildings|PM25|Asthma symptoms wheeze", US_national_yearly!$D:$AM, 18, FALSE) / VLOOKUP("buildings|PM25|Asthma symptoms wheeze", US_national_yearly!$D:$AM, 10, FALSE), 1)</f>
        <v>3.4046029430158088E-2</v>
      </c>
      <c r="K8" s="7">
        <f>$B8 * IFERROR(VLOOKUP("buildings|PM25|Asthma symptoms wheeze", US_national_yearly!$D:$AM, 19, FALSE) / VLOOKUP("buildings|PM25|Asthma symptoms wheeze", US_national_yearly!$D:$AM, 10, FALSE), 1)</f>
        <v>3.4046029430158088E-2</v>
      </c>
      <c r="L8" s="7">
        <f>$B8 * IFERROR(VLOOKUP("buildings|PM25|Asthma symptoms wheeze", US_national_yearly!$D:$AM, 20, FALSE) / VLOOKUP("buildings|PM25|Asthma symptoms wheeze", US_national_yearly!$D:$AM, 10, FALSE), 1)</f>
        <v>3.4046029430158088E-2</v>
      </c>
      <c r="M8" s="7">
        <f>$B8 * IFERROR(VLOOKUP("buildings|PM25|Asthma symptoms wheeze", US_national_yearly!$D:$AM, 21, FALSE) / VLOOKUP("buildings|PM25|Asthma symptoms wheeze", US_national_yearly!$D:$AM, 10, FALSE), 1)</f>
        <v>3.4046029430158088E-2</v>
      </c>
      <c r="N8" s="7">
        <f>$B8 * IFERROR(VLOOKUP("buildings|PM25|Asthma symptoms wheeze", US_national_yearly!$D:$AM, 22, FALSE) / VLOOKUP("buildings|PM25|Asthma symptoms wheeze", US_national_yearly!$D:$AM, 10, FALSE), 1)</f>
        <v>3.4046029430158088E-2</v>
      </c>
      <c r="O8" s="7">
        <f>$B8 * IFERROR(VLOOKUP("buildings|PM25|Asthma symptoms wheeze", US_national_yearly!$D:$AM, 23, FALSE) / VLOOKUP("buildings|PM25|Asthma symptoms wheeze", US_national_yearly!$D:$AM, 10, FALSE), 1)</f>
        <v>3.4046029430158088E-2</v>
      </c>
      <c r="P8" s="7">
        <f>$B8 * IFERROR(VLOOKUP("buildings|PM25|Asthma symptoms wheeze", US_national_yearly!$D:$AM, 24, FALSE) / VLOOKUP("buildings|PM25|Asthma symptoms wheeze", US_national_yearly!$D:$AM, 10, FALSE), 1)</f>
        <v>3.4046029430158088E-2</v>
      </c>
      <c r="Q8" s="7">
        <f>$B8 * IFERROR(VLOOKUP("buildings|PM25|Asthma symptoms wheeze", US_national_yearly!$D:$AM, 25, FALSE) / VLOOKUP("buildings|PM25|Asthma symptoms wheeze", US_national_yearly!$D:$AM, 10, FALSE), 1)</f>
        <v>3.4046029430158088E-2</v>
      </c>
      <c r="R8" s="7">
        <f>$B8 * IFERROR(VLOOKUP("buildings|PM25|Asthma symptoms wheeze", US_national_yearly!$D:$AM, 26, FALSE) / VLOOKUP("buildings|PM25|Asthma symptoms wheeze", US_national_yearly!$D:$AM, 10, FALSE), 1)</f>
        <v>3.4046029430158088E-2</v>
      </c>
      <c r="S8" s="7">
        <f>$B8 * IFERROR(VLOOKUP("buildings|PM25|Asthma symptoms wheeze", US_national_yearly!$D:$AM, 27, FALSE) / VLOOKUP("buildings|PM25|Asthma symptoms wheeze", US_national_yearly!$D:$AM, 10, FALSE), 1)</f>
        <v>3.4046029430158088E-2</v>
      </c>
      <c r="T8" s="7">
        <f>$B8 * IFERROR(VLOOKUP("buildings|PM25|Asthma symptoms wheeze", US_national_yearly!$D:$AM, 28, FALSE) / VLOOKUP("buildings|PM25|Asthma symptoms wheeze", US_national_yearly!$D:$AM, 10, FALSE), 1)</f>
        <v>3.4046029430158088E-2</v>
      </c>
      <c r="U8" s="7">
        <f>$B8 * IFERROR(VLOOKUP("buildings|PM25|Asthma symptoms wheeze", US_national_yearly!$D:$AM, 29, FALSE) / VLOOKUP("buildings|PM25|Asthma symptoms wheeze", US_national_yearly!$D:$AM, 10, FALSE), 1)</f>
        <v>3.4046029430158088E-2</v>
      </c>
      <c r="V8" s="7">
        <f>$B8 * IFERROR(VLOOKUP("buildings|PM25|Asthma symptoms wheeze", US_national_yearly!$D:$AM, 30, FALSE) / VLOOKUP("buildings|PM25|Asthma symptoms wheeze", US_national_yearly!$D:$AM, 10, FALSE), 1)</f>
        <v>3.4046029430158088E-2</v>
      </c>
      <c r="W8" s="7">
        <f>$B8 * IFERROR(VLOOKUP("buildings|PM25|Asthma symptoms wheeze", US_national_yearly!$D:$AM, 31, FALSE) / VLOOKUP("buildings|PM25|Asthma symptoms wheeze", US_national_yearly!$D:$AM, 10, FALSE), 1)</f>
        <v>3.4046029430158088E-2</v>
      </c>
      <c r="X8" s="7">
        <f>$B8 * IFERROR(VLOOKUP("buildings|PM25|Asthma symptoms wheeze", US_national_yearly!$D:$AM, 32, FALSE) / VLOOKUP("buildings|PM25|Asthma symptoms wheeze", US_national_yearly!$D:$AM, 10, FALSE), 1)</f>
        <v>3.4046029430158088E-2</v>
      </c>
      <c r="Y8" s="7">
        <f>$B8 * IFERROR(VLOOKUP("buildings|PM25|Asthma symptoms wheeze", US_national_yearly!$D:$AM, 33, FALSE) / VLOOKUP("buildings|PM25|Asthma symptoms wheeze", US_national_yearly!$D:$AM, 10, FALSE), 1)</f>
        <v>3.4046029430158088E-2</v>
      </c>
      <c r="Z8" s="7">
        <f>$B8 * IFERROR(VLOOKUP("buildings|PM25|Asthma symptoms wheeze", US_national_yearly!$D:$AM, 34, FALSE) / VLOOKUP("buildings|PM25|Asthma symptoms wheeze", US_national_yearly!$D:$AM, 10, FALSE), 1)</f>
        <v>3.4046029430158088E-2</v>
      </c>
      <c r="AA8" s="7">
        <f>$B8 * IFERROR(VLOOKUP("buildings|PM25|Asthma symptoms wheeze", US_national_yearly!$D:$AM, 35, FALSE) / VLOOKUP("buildings|PM25|Asthma symptoms wheeze", US_national_yearly!$D:$AM, 10, FALSE), 1)</f>
        <v>3.4046029430158088E-2</v>
      </c>
      <c r="AB8" s="7">
        <f>$B8 * IFERROR(VLOOKUP("buildings|PM25|Asthma symptoms wheeze", US_national_yearly!$D:$AM, 36, FALSE) / VLOOKUP("buildings|PM25|Asthma symptoms wheeze", US_national_yearly!$D:$AM, 10, FALSE), 1)</f>
        <v>3.4046029430158088E-2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5.5216574538865507E-4</v>
      </c>
      <c r="C12" s="7">
        <f>$B12 * IFERROR(VLOOKUP("buildings|PM25|Respiratory hospital admissions", US_national_yearly!$D:$AM, 11, FALSE) / VLOOKUP("buildings|PM25|Respiratory hospital admissions", US_national_yearly!$D:$AM, 10, FALSE), 1)</f>
        <v>5.5534852055218393E-4</v>
      </c>
      <c r="D12" s="7">
        <f>$B12 * IFERROR(VLOOKUP("buildings|PM25|Respiratory hospital admissions", US_national_yearly!$D:$AM, 12, FALSE) / VLOOKUP("buildings|PM25|Respiratory hospital admissions", US_national_yearly!$D:$AM, 10, FALSE), 1)</f>
        <v>5.585312957157129E-4</v>
      </c>
      <c r="E12" s="7">
        <f>$B12 * IFERROR(VLOOKUP("buildings|PM25|Respiratory hospital admissions", US_national_yearly!$D:$AM, 13, FALSE) / VLOOKUP("buildings|PM25|Respiratory hospital admissions", US_national_yearly!$D:$AM, 10, FALSE), 1)</f>
        <v>5.6171407087924187E-4</v>
      </c>
      <c r="F12" s="7">
        <f>$B12 * IFERROR(VLOOKUP("buildings|PM25|Respiratory hospital admissions", US_national_yearly!$D:$AM, 14, FALSE) / VLOOKUP("buildings|PM25|Respiratory hospital admissions", US_national_yearly!$D:$AM, 10, FALSE), 1)</f>
        <v>5.6489684604277084E-4</v>
      </c>
      <c r="G12" s="7">
        <f>$B12 * IFERROR(VLOOKUP("buildings|PM25|Respiratory hospital admissions", US_national_yearly!$D:$AM, 15, FALSE) / VLOOKUP("buildings|PM25|Respiratory hospital admissions", US_national_yearly!$D:$AM, 10, FALSE), 1)</f>
        <v>5.683313553230243E-4</v>
      </c>
      <c r="H12" s="7">
        <f>$B12 * IFERROR(VLOOKUP("buildings|PM25|Respiratory hospital admissions", US_national_yearly!$D:$AM, 16, FALSE) / VLOOKUP("buildings|PM25|Respiratory hospital admissions", US_national_yearly!$D:$AM, 10, FALSE), 1)</f>
        <v>5.7176586460327787E-4</v>
      </c>
      <c r="I12" s="7">
        <f>$B12 * IFERROR(VLOOKUP("buildings|PM25|Respiratory hospital admissions", US_national_yearly!$D:$AM, 17, FALSE) / VLOOKUP("buildings|PM25|Respiratory hospital admissions", US_national_yearly!$D:$AM, 10, FALSE), 1)</f>
        <v>5.7503239350555687E-4</v>
      </c>
      <c r="J12" s="7">
        <f>$B12 * IFERROR(VLOOKUP("buildings|PM25|Respiratory hospital admissions", US_national_yearly!$D:$AM, 18, FALSE) / VLOOKUP("buildings|PM25|Respiratory hospital admissions", US_national_yearly!$D:$AM, 10, FALSE), 1)</f>
        <v>5.7829892240783586E-4</v>
      </c>
      <c r="K12" s="7">
        <f>$B12 * IFERROR(VLOOKUP("buildings|PM25|Respiratory hospital admissions", US_national_yearly!$D:$AM, 19, FALSE) / VLOOKUP("buildings|PM25|Respiratory hospital admissions", US_national_yearly!$D:$AM, 10, FALSE), 1)</f>
        <v>5.8156545131011486E-4</v>
      </c>
      <c r="L12" s="7">
        <f>$B12 * IFERROR(VLOOKUP("buildings|PM25|Respiratory hospital admissions", US_national_yearly!$D:$AM, 20, FALSE) / VLOOKUP("buildings|PM25|Respiratory hospital admissions", US_national_yearly!$D:$AM, 10, FALSE), 1)</f>
        <v>5.8483198021239385E-4</v>
      </c>
      <c r="M12" s="7">
        <f>$B12 * IFERROR(VLOOKUP("buildings|PM25|Respiratory hospital admissions", US_national_yearly!$D:$AM, 21, FALSE) / VLOOKUP("buildings|PM25|Respiratory hospital admissions", US_national_yearly!$D:$AM, 10, FALSE), 1)</f>
        <v>5.8809850911467284E-4</v>
      </c>
      <c r="N12" s="7">
        <f>$B12 * IFERROR(VLOOKUP("buildings|PM25|Respiratory hospital admissions", US_national_yearly!$D:$AM, 22, FALSE) / VLOOKUP("buildings|PM25|Respiratory hospital admissions", US_national_yearly!$D:$AM, 10, FALSE), 1)</f>
        <v>5.9044802828222653E-4</v>
      </c>
      <c r="O12" s="7">
        <f>$B12 * IFERROR(VLOOKUP("buildings|PM25|Respiratory hospital admissions", US_national_yearly!$D:$AM, 23, FALSE) / VLOOKUP("buildings|PM25|Respiratory hospital admissions", US_national_yearly!$D:$AM, 10, FALSE), 1)</f>
        <v>5.9279754744978033E-4</v>
      </c>
      <c r="P12" s="7">
        <f>$B12 * IFERROR(VLOOKUP("buildings|PM25|Respiratory hospital admissions", US_national_yearly!$D:$AM, 24, FALSE) / VLOOKUP("buildings|PM25|Respiratory hospital admissions", US_national_yearly!$D:$AM, 10, FALSE), 1)</f>
        <v>5.9514706661733402E-4</v>
      </c>
      <c r="Q12" s="7">
        <f>$B12 * IFERROR(VLOOKUP("buildings|PM25|Respiratory hospital admissions", US_national_yearly!$D:$AM, 25, FALSE) / VLOOKUP("buildings|PM25|Respiratory hospital admissions", US_national_yearly!$D:$AM, 10, FALSE), 1)</f>
        <v>5.9749658578488771E-4</v>
      </c>
      <c r="R12" s="7">
        <f>$B12 * IFERROR(VLOOKUP("buildings|PM25|Respiratory hospital admissions", US_national_yearly!$D:$AM, 26, FALSE) / VLOOKUP("buildings|PM25|Respiratory hospital admissions", US_national_yearly!$D:$AM, 10, FALSE), 1)</f>
        <v>5.9984610495244139E-4</v>
      </c>
      <c r="S12" s="7">
        <f>$B12 * IFERROR(VLOOKUP("buildings|PM25|Respiratory hospital admissions", US_national_yearly!$D:$AM, 27, FALSE) / VLOOKUP("buildings|PM25|Respiratory hospital admissions", US_national_yearly!$D:$AM, 10, FALSE), 1)</f>
        <v>6.0208466316697296E-4</v>
      </c>
      <c r="T12" s="7">
        <f>$B12 * IFERROR(VLOOKUP("buildings|PM25|Respiratory hospital admissions", US_national_yearly!$D:$AM, 28, FALSE) / VLOOKUP("buildings|PM25|Respiratory hospital admissions", US_national_yearly!$D:$AM, 10, FALSE), 1)</f>
        <v>6.0432322138150485E-4</v>
      </c>
      <c r="U12" s="7">
        <f>$B12 * IFERROR(VLOOKUP("buildings|PM25|Respiratory hospital admissions", US_national_yearly!$D:$AM, 29, FALSE) / VLOOKUP("buildings|PM25|Respiratory hospital admissions", US_national_yearly!$D:$AM, 10, FALSE), 1)</f>
        <v>6.0656177959603642E-4</v>
      </c>
      <c r="V12" s="7">
        <f>$B12 * IFERROR(VLOOKUP("buildings|PM25|Respiratory hospital admissions", US_national_yearly!$D:$AM, 30, FALSE) / VLOOKUP("buildings|PM25|Respiratory hospital admissions", US_national_yearly!$D:$AM, 10, FALSE), 1)</f>
        <v>6.0880033781056798E-4</v>
      </c>
      <c r="W12" s="7">
        <f>$B12 * IFERROR(VLOOKUP("buildings|PM25|Respiratory hospital admissions", US_national_yearly!$D:$AM, 31, FALSE) / VLOOKUP("buildings|PM25|Respiratory hospital admissions", US_national_yearly!$D:$AM, 10, FALSE), 1)</f>
        <v>6.1103889602509977E-4</v>
      </c>
      <c r="X12" s="7">
        <f>$B12 * IFERROR(VLOOKUP("buildings|PM25|Respiratory hospital admissions", US_national_yearly!$D:$AM, 32, FALSE) / VLOOKUP("buildings|PM25|Respiratory hospital admissions", US_national_yearly!$D:$AM, 10, FALSE), 1)</f>
        <v>6.1320098840865218E-4</v>
      </c>
      <c r="Y12" s="7">
        <f>$B12 * IFERROR(VLOOKUP("buildings|PM25|Respiratory hospital admissions", US_national_yearly!$D:$AM, 33, FALSE) / VLOOKUP("buildings|PM25|Respiratory hospital admissions", US_national_yearly!$D:$AM, 10, FALSE), 1)</f>
        <v>6.153630807922047E-4</v>
      </c>
      <c r="Z12" s="7">
        <f>$B12 * IFERROR(VLOOKUP("buildings|PM25|Respiratory hospital admissions", US_national_yearly!$D:$AM, 34, FALSE) / VLOOKUP("buildings|PM25|Respiratory hospital admissions", US_national_yearly!$D:$AM, 10, FALSE), 1)</f>
        <v>6.1752517317575711E-4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6.1968726555930974E-4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6.2184935794286215E-4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2.7952643570054625E-3</v>
      </c>
      <c r="C13" s="7">
        <f>$B13 * IFERROR(VLOOKUP("buildings|PM25|Non-fatal heart attacks", US_national_yearly!$D:$AM, 11, FALSE) / VLOOKUP("buildings|PM25|Non-fatal heart attacks", US_national_yearly!$D:$AM, 10, FALSE), 1)</f>
        <v>2.8765685762064041E-3</v>
      </c>
      <c r="D13" s="7">
        <f>$B13 * IFERROR(VLOOKUP("buildings|PM25|Non-fatal heart attacks", US_national_yearly!$D:$AM, 12, FALSE) / VLOOKUP("buildings|PM25|Non-fatal heart attacks", US_national_yearly!$D:$AM, 10, FALSE), 1)</f>
        <v>2.9578727954073453E-3</v>
      </c>
      <c r="E13" s="7">
        <f>$B13 * IFERROR(VLOOKUP("buildings|PM25|Non-fatal heart attacks", US_national_yearly!$D:$AM, 13, FALSE) / VLOOKUP("buildings|PM25|Non-fatal heart attacks", US_national_yearly!$D:$AM, 10, FALSE), 1)</f>
        <v>3.0391770146082865E-3</v>
      </c>
      <c r="F13" s="7">
        <f>$B13 * IFERROR(VLOOKUP("buildings|PM25|Non-fatal heart attacks", US_national_yearly!$D:$AM, 14, FALSE) / VLOOKUP("buildings|PM25|Non-fatal heart attacks", US_national_yearly!$D:$AM, 10, FALSE), 1)</f>
        <v>3.1204812338092281E-3</v>
      </c>
      <c r="G13" s="7">
        <f>$B13 * IFERROR(VLOOKUP("buildings|PM25|Non-fatal heart attacks", US_national_yearly!$D:$AM, 15, FALSE) / VLOOKUP("buildings|PM25|Non-fatal heart attacks", US_national_yearly!$D:$AM, 10, FALSE), 1)</f>
        <v>3.1971964083294564E-3</v>
      </c>
      <c r="H13" s="7">
        <f>$B13 * IFERROR(VLOOKUP("buildings|PM25|Non-fatal heart attacks", US_national_yearly!$D:$AM, 16, FALSE) / VLOOKUP("buildings|PM25|Non-fatal heart attacks", US_national_yearly!$D:$AM, 10, FALSE), 1)</f>
        <v>3.2739115828496839E-3</v>
      </c>
      <c r="I13" s="7">
        <f>$B13 * IFERROR(VLOOKUP("buildings|PM25|Non-fatal heart attacks", US_national_yearly!$D:$AM, 17, FALSE) / VLOOKUP("buildings|PM25|Non-fatal heart attacks", US_national_yearly!$D:$AM, 10, FALSE), 1)</f>
        <v>3.3356348991299438E-3</v>
      </c>
      <c r="J13" s="7">
        <f>$B13 * IFERROR(VLOOKUP("buildings|PM25|Non-fatal heart attacks", US_national_yearly!$D:$AM, 18, FALSE) / VLOOKUP("buildings|PM25|Non-fatal heart attacks", US_national_yearly!$D:$AM, 10, FALSE), 1)</f>
        <v>3.3973582154102036E-3</v>
      </c>
      <c r="K13" s="7">
        <f>$B13 * IFERROR(VLOOKUP("buildings|PM25|Non-fatal heart attacks", US_national_yearly!$D:$AM, 19, FALSE) / VLOOKUP("buildings|PM25|Non-fatal heart attacks", US_national_yearly!$D:$AM, 10, FALSE), 1)</f>
        <v>3.4590815316904631E-3</v>
      </c>
      <c r="L13" s="7">
        <f>$B13 * IFERROR(VLOOKUP("buildings|PM25|Non-fatal heart attacks", US_national_yearly!$D:$AM, 20, FALSE) / VLOOKUP("buildings|PM25|Non-fatal heart attacks", US_national_yearly!$D:$AM, 10, FALSE), 1)</f>
        <v>3.5208048479707221E-3</v>
      </c>
      <c r="M13" s="7">
        <f>$B13 * IFERROR(VLOOKUP("buildings|PM25|Non-fatal heart attacks", US_national_yearly!$D:$AM, 21, FALSE) / VLOOKUP("buildings|PM25|Non-fatal heart attacks", US_national_yearly!$D:$AM, 10, FALSE), 1)</f>
        <v>3.5825281642509815E-3</v>
      </c>
      <c r="N13" s="7">
        <f>$B13 * IFERROR(VLOOKUP("buildings|PM25|Non-fatal heart attacks", US_national_yearly!$D:$AM, 22, FALSE) / VLOOKUP("buildings|PM25|Non-fatal heart attacks", US_national_yearly!$D:$AM, 10, FALSE), 1)</f>
        <v>3.6224023908886143E-3</v>
      </c>
      <c r="O13" s="7">
        <f>$B13 * IFERROR(VLOOKUP("buildings|PM25|Non-fatal heart attacks", US_national_yearly!$D:$AM, 23, FALSE) / VLOOKUP("buildings|PM25|Non-fatal heart attacks", US_national_yearly!$D:$AM, 10, FALSE), 1)</f>
        <v>3.6622766175262466E-3</v>
      </c>
      <c r="P13" s="7">
        <f>$B13 * IFERROR(VLOOKUP("buildings|PM25|Non-fatal heart attacks", US_national_yearly!$D:$AM, 24, FALSE) / VLOOKUP("buildings|PM25|Non-fatal heart attacks", US_national_yearly!$D:$AM, 10, FALSE), 1)</f>
        <v>3.702150844163879E-3</v>
      </c>
      <c r="Q13" s="7">
        <f>$B13 * IFERROR(VLOOKUP("buildings|PM25|Non-fatal heart attacks", US_national_yearly!$D:$AM, 25, FALSE) / VLOOKUP("buildings|PM25|Non-fatal heart attacks", US_national_yearly!$D:$AM, 10, FALSE), 1)</f>
        <v>3.7420250708015122E-3</v>
      </c>
      <c r="R13" s="7">
        <f>$B13 * IFERROR(VLOOKUP("buildings|PM25|Non-fatal heart attacks", US_national_yearly!$D:$AM, 26, FALSE) / VLOOKUP("buildings|PM25|Non-fatal heart attacks", US_national_yearly!$D:$AM, 10, FALSE), 1)</f>
        <v>3.7818992974391445E-3</v>
      </c>
      <c r="S13" s="7">
        <f>$B13 * IFERROR(VLOOKUP("buildings|PM25|Non-fatal heart attacks", US_national_yearly!$D:$AM, 27, FALSE) / VLOOKUP("buildings|PM25|Non-fatal heart attacks", US_national_yearly!$D:$AM, 10, FALSE), 1)</f>
        <v>3.8029891563832329E-3</v>
      </c>
      <c r="T13" s="7">
        <f>$B13 * IFERROR(VLOOKUP("buildings|PM25|Non-fatal heart attacks", US_national_yearly!$D:$AM, 28, FALSE) / VLOOKUP("buildings|PM25|Non-fatal heart attacks", US_national_yearly!$D:$AM, 10, FALSE), 1)</f>
        <v>3.8240790153273216E-3</v>
      </c>
      <c r="U13" s="7">
        <f>$B13 * IFERROR(VLOOKUP("buildings|PM25|Non-fatal heart attacks", US_national_yearly!$D:$AM, 29, FALSE) / VLOOKUP("buildings|PM25|Non-fatal heart attacks", US_national_yearly!$D:$AM, 10, FALSE), 1)</f>
        <v>3.8451688742714104E-3</v>
      </c>
      <c r="V13" s="7">
        <f>$B13 * IFERROR(VLOOKUP("buildings|PM25|Non-fatal heart attacks", US_national_yearly!$D:$AM, 30, FALSE) / VLOOKUP("buildings|PM25|Non-fatal heart attacks", US_national_yearly!$D:$AM, 10, FALSE), 1)</f>
        <v>3.8662587332154988E-3</v>
      </c>
      <c r="W13" s="7">
        <f>$B13 * IFERROR(VLOOKUP("buildings|PM25|Non-fatal heart attacks", US_national_yearly!$D:$AM, 31, FALSE) / VLOOKUP("buildings|PM25|Non-fatal heart attacks", US_national_yearly!$D:$AM, 10, FALSE), 1)</f>
        <v>3.8873485921595875E-3</v>
      </c>
      <c r="X13" s="7">
        <f>$B13 * IFERROR(VLOOKUP("buildings|PM25|Non-fatal heart attacks", US_national_yearly!$D:$AM, 32, FALSE) / VLOOKUP("buildings|PM25|Non-fatal heart attacks", US_national_yearly!$D:$AM, 10, FALSE), 1)</f>
        <v>3.9033995151839633E-3</v>
      </c>
      <c r="Y13" s="7">
        <f>$B13 * IFERROR(VLOOKUP("buildings|PM25|Non-fatal heart attacks", US_national_yearly!$D:$AM, 33, FALSE) / VLOOKUP("buildings|PM25|Non-fatal heart attacks", US_national_yearly!$D:$AM, 10, FALSE), 1)</f>
        <v>3.9194504382083391E-3</v>
      </c>
      <c r="Z13" s="7">
        <f>$B13 * IFERROR(VLOOKUP("buildings|PM25|Non-fatal heart attacks", US_national_yearly!$D:$AM, 34, FALSE) / VLOOKUP("buildings|PM25|Non-fatal heart attacks", US_national_yearly!$D:$AM, 10, FALSE), 1)</f>
        <v>3.935501361232714E-3</v>
      </c>
      <c r="AA13" s="7">
        <f>$B13 * IFERROR(VLOOKUP("buildings|PM25|Non-fatal heart attacks", US_national_yearly!$D:$AM, 35, FALSE) / VLOOKUP("buildings|PM25|Non-fatal heart attacks", US_national_yearly!$D:$AM, 10, FALSE), 1)</f>
        <v>3.9515522842570906E-3</v>
      </c>
      <c r="AB13" s="7">
        <f>$B13 * IFERROR(VLOOKUP("buildings|PM25|Non-fatal heart attacks", US_national_yearly!$D:$AM, 36, FALSE) / VLOOKUP("buildings|PM25|Non-fatal heart attacks", US_national_yearly!$D:$AM, 10, FALSE), 1)</f>
        <v>3.9676032072814664E-3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1.9350693028785619</v>
      </c>
      <c r="C14" s="7">
        <f>$B14 * IFERROR(VLOOKUP("buildings|PM25|Minor restricted activity days", US_national_yearly!$D:$AM, 11, FALSE) / VLOOKUP("buildings|PM25|Minor restricted activity days", US_national_yearly!$D:$AM, 10, FALSE), 1)</f>
        <v>1.9398819287195592</v>
      </c>
      <c r="D14" s="7">
        <f>$B14 * IFERROR(VLOOKUP("buildings|PM25|Minor restricted activity days", US_national_yearly!$D:$AM, 12, FALSE) / VLOOKUP("buildings|PM25|Minor restricted activity days", US_national_yearly!$D:$AM, 10, FALSE), 1)</f>
        <v>1.9446945545605565</v>
      </c>
      <c r="E14" s="7">
        <f>$B14 * IFERROR(VLOOKUP("buildings|PM25|Minor restricted activity days", US_national_yearly!$D:$AM, 13, FALSE) / VLOOKUP("buildings|PM25|Minor restricted activity days", US_national_yearly!$D:$AM, 10, FALSE), 1)</f>
        <v>1.949507180401554</v>
      </c>
      <c r="F14" s="7">
        <f>$B14 * IFERROR(VLOOKUP("buildings|PM25|Minor restricted activity days", US_national_yearly!$D:$AM, 14, FALSE) / VLOOKUP("buildings|PM25|Minor restricted activity days", US_national_yearly!$D:$AM, 10, FALSE), 1)</f>
        <v>1.9543198062425509</v>
      </c>
      <c r="G14" s="7">
        <f>$B14 * IFERROR(VLOOKUP("buildings|PM25|Minor restricted activity days", US_national_yearly!$D:$AM, 15, FALSE) / VLOOKUP("buildings|PM25|Minor restricted activity days", US_national_yearly!$D:$AM, 10, FALSE), 1)</f>
        <v>1.9613784671336016</v>
      </c>
      <c r="H14" s="7">
        <f>$B14 * IFERROR(VLOOKUP("buildings|PM25|Minor restricted activity days", US_national_yearly!$D:$AM, 16, FALSE) / VLOOKUP("buildings|PM25|Minor restricted activity days", US_national_yearly!$D:$AM, 10, FALSE), 1)</f>
        <v>1.9684371280246513</v>
      </c>
      <c r="I14" s="7">
        <f>$B14 * IFERROR(VLOOKUP("buildings|PM25|Minor restricted activity days", US_national_yearly!$D:$AM, 17, FALSE) / VLOOKUP("buildings|PM25|Minor restricted activity days", US_national_yearly!$D:$AM, 10, FALSE), 1)</f>
        <v>1.9804400201805521</v>
      </c>
      <c r="J14" s="7">
        <f>$B14 * IFERROR(VLOOKUP("buildings|PM25|Minor restricted activity days", US_national_yearly!$D:$AM, 18, FALSE) / VLOOKUP("buildings|PM25|Minor restricted activity days", US_national_yearly!$D:$AM, 10, FALSE), 1)</f>
        <v>1.9924429123364535</v>
      </c>
      <c r="K14" s="7">
        <f>$B14 * IFERROR(VLOOKUP("buildings|PM25|Minor restricted activity days", US_national_yearly!$D:$AM, 19, FALSE) / VLOOKUP("buildings|PM25|Minor restricted activity days", US_national_yearly!$D:$AM, 10, FALSE), 1)</f>
        <v>2.0044458044923532</v>
      </c>
      <c r="L14" s="7">
        <f>$B14 * IFERROR(VLOOKUP("buildings|PM25|Minor restricted activity days", US_national_yearly!$D:$AM, 20, FALSE) / VLOOKUP("buildings|PM25|Minor restricted activity days", US_national_yearly!$D:$AM, 10, FALSE), 1)</f>
        <v>2.0164486966482533</v>
      </c>
      <c r="M14" s="7">
        <f>$B14 * IFERROR(VLOOKUP("buildings|PM25|Minor restricted activity days", US_national_yearly!$D:$AM, 21, FALSE) / VLOOKUP("buildings|PM25|Minor restricted activity days", US_national_yearly!$D:$AM, 10, FALSE), 1)</f>
        <v>2.0284515888041539</v>
      </c>
      <c r="N14" s="7">
        <f>$B14 * IFERROR(VLOOKUP("buildings|PM25|Minor restricted activity days", US_national_yearly!$D:$AM, 22, FALSE) / VLOOKUP("buildings|PM25|Minor restricted activity days", US_national_yearly!$D:$AM, 10, FALSE), 1)</f>
        <v>2.0447606233819093</v>
      </c>
      <c r="O14" s="7">
        <f>$B14 * IFERROR(VLOOKUP("buildings|PM25|Minor restricted activity days", US_national_yearly!$D:$AM, 23, FALSE) / VLOOKUP("buildings|PM25|Minor restricted activity days", US_national_yearly!$D:$AM, 10, FALSE), 1)</f>
        <v>2.0610696579596648</v>
      </c>
      <c r="P14" s="7">
        <f>$B14 * IFERROR(VLOOKUP("buildings|PM25|Minor restricted activity days", US_national_yearly!$D:$AM, 24, FALSE) / VLOOKUP("buildings|PM25|Minor restricted activity days", US_national_yearly!$D:$AM, 10, FALSE), 1)</f>
        <v>2.0773786925374198</v>
      </c>
      <c r="Q14" s="7">
        <f>$B14 * IFERROR(VLOOKUP("buildings|PM25|Minor restricted activity days", US_national_yearly!$D:$AM, 25, FALSE) / VLOOKUP("buildings|PM25|Minor restricted activity days", US_national_yearly!$D:$AM, 10, FALSE), 1)</f>
        <v>2.0936877271151753</v>
      </c>
      <c r="R14" s="7">
        <f>$B14 * IFERROR(VLOOKUP("buildings|PM25|Minor restricted activity days", US_national_yearly!$D:$AM, 26, FALSE) / VLOOKUP("buildings|PM25|Minor restricted activity days", US_national_yearly!$D:$AM, 10, FALSE), 1)</f>
        <v>2.1099967616929303</v>
      </c>
      <c r="S14" s="7">
        <f>$B14 * IFERROR(VLOOKUP("buildings|PM25|Minor restricted activity days", US_national_yearly!$D:$AM, 27, FALSE) / VLOOKUP("buildings|PM25|Minor restricted activity days", US_national_yearly!$D:$AM, 10, FALSE), 1)</f>
        <v>2.1264068642402045</v>
      </c>
      <c r="T14" s="7">
        <f>$B14 * IFERROR(VLOOKUP("buildings|PM25|Minor restricted activity days", US_national_yearly!$D:$AM, 28, FALSE) / VLOOKUP("buildings|PM25|Minor restricted activity days", US_national_yearly!$D:$AM, 10, FALSE), 1)</f>
        <v>2.1428169667874779</v>
      </c>
      <c r="U14" s="7">
        <f>$B14 * IFERROR(VLOOKUP("buildings|PM25|Minor restricted activity days", US_national_yearly!$D:$AM, 29, FALSE) / VLOOKUP("buildings|PM25|Minor restricted activity days", US_national_yearly!$D:$AM, 10, FALSE), 1)</f>
        <v>2.1592270693347522</v>
      </c>
      <c r="V14" s="7">
        <f>$B14 * IFERROR(VLOOKUP("buildings|PM25|Minor restricted activity days", US_national_yearly!$D:$AM, 30, FALSE) / VLOOKUP("buildings|PM25|Minor restricted activity days", US_national_yearly!$D:$AM, 10, FALSE), 1)</f>
        <v>2.175637171882026</v>
      </c>
      <c r="W14" s="7">
        <f>$B14 * IFERROR(VLOOKUP("buildings|PM25|Minor restricted activity days", US_national_yearly!$D:$AM, 31, FALSE) / VLOOKUP("buildings|PM25|Minor restricted activity days", US_national_yearly!$D:$AM, 10, FALSE), 1)</f>
        <v>2.1920472744292998</v>
      </c>
      <c r="X14" s="7">
        <f>$B14 * IFERROR(VLOOKUP("buildings|PM25|Minor restricted activity days", US_national_yearly!$D:$AM, 32, FALSE) / VLOOKUP("buildings|PM25|Minor restricted activity days", US_national_yearly!$D:$AM, 10, FALSE), 1)</f>
        <v>2.2062962582094663</v>
      </c>
      <c r="Y14" s="7">
        <f>$B14 * IFERROR(VLOOKUP("buildings|PM25|Minor restricted activity days", US_national_yearly!$D:$AM, 33, FALSE) / VLOOKUP("buildings|PM25|Minor restricted activity days", US_national_yearly!$D:$AM, 10, FALSE), 1)</f>
        <v>2.2205452419896319</v>
      </c>
      <c r="Z14" s="7">
        <f>$B14 * IFERROR(VLOOKUP("buildings|PM25|Minor restricted activity days", US_national_yearly!$D:$AM, 34, FALSE) / VLOOKUP("buildings|PM25|Minor restricted activity days", US_national_yearly!$D:$AM, 10, FALSE), 1)</f>
        <v>2.2347942257697975</v>
      </c>
      <c r="AA14" s="7">
        <f>$B14 * IFERROR(VLOOKUP("buildings|PM25|Minor restricted activity days", US_national_yearly!$D:$AM, 35, FALSE) / VLOOKUP("buildings|PM25|Minor restricted activity days", US_national_yearly!$D:$AM, 10, FALSE), 1)</f>
        <v>2.2490432095499631</v>
      </c>
      <c r="AB14" s="7">
        <f>$B14 * IFERROR(VLOOKUP("buildings|PM25|Minor restricted activity days", US_national_yearly!$D:$AM, 36, FALSE) / VLOOKUP("buildings|PM25|Minor restricted activity days", US_national_yearly!$D:$AM, 10, FALSE), 1)</f>
        <v>2.2632921933301287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0.3272401801489031</v>
      </c>
      <c r="C15" s="7">
        <f>$B15 * IFERROR(VLOOKUP("buildings|PM25|Work loss days", US_national_yearly!$D:$AM, 11, FALSE) / VLOOKUP("buildings|PM25|Work loss days", US_national_yearly!$D:$AM, 10, FALSE), 1)</f>
        <v>0.32826713040686645</v>
      </c>
      <c r="D15" s="7">
        <f>$B15 * IFERROR(VLOOKUP("buildings|PM25|Work loss days", US_national_yearly!$D:$AM, 12, FALSE) / VLOOKUP("buildings|PM25|Work loss days", US_national_yearly!$D:$AM, 10, FALSE), 1)</f>
        <v>0.32929408066482974</v>
      </c>
      <c r="E15" s="7">
        <f>$B15 * IFERROR(VLOOKUP("buildings|PM25|Work loss days", US_national_yearly!$D:$AM, 13, FALSE) / VLOOKUP("buildings|PM25|Work loss days", US_national_yearly!$D:$AM, 10, FALSE), 1)</f>
        <v>0.33032103092279302</v>
      </c>
      <c r="F15" s="7">
        <f>$B15 * IFERROR(VLOOKUP("buildings|PM25|Work loss days", US_national_yearly!$D:$AM, 14, FALSE) / VLOOKUP("buildings|PM25|Work loss days", US_national_yearly!$D:$AM, 10, FALSE), 1)</f>
        <v>0.33134798118075637</v>
      </c>
      <c r="G15" s="7">
        <f>$B15 * IFERROR(VLOOKUP("buildings|PM25|Work loss days", US_national_yearly!$D:$AM, 15, FALSE) / VLOOKUP("buildings|PM25|Work loss days", US_national_yearly!$D:$AM, 10, FALSE), 1)</f>
        <v>0.33269029719717613</v>
      </c>
      <c r="H15" s="7">
        <f>$B15 * IFERROR(VLOOKUP("buildings|PM25|Work loss days", US_national_yearly!$D:$AM, 16, FALSE) / VLOOKUP("buildings|PM25|Work loss days", US_national_yearly!$D:$AM, 10, FALSE), 1)</f>
        <v>0.3340326132135959</v>
      </c>
      <c r="I15" s="7">
        <f>$B15 * IFERROR(VLOOKUP("buildings|PM25|Work loss days", US_national_yearly!$D:$AM, 17, FALSE) / VLOOKUP("buildings|PM25|Work loss days", US_national_yearly!$D:$AM, 10, FALSE), 1)</f>
        <v>0.33600402751789066</v>
      </c>
      <c r="J15" s="7">
        <f>$B15 * IFERROR(VLOOKUP("buildings|PM25|Work loss days", US_national_yearly!$D:$AM, 18, FALSE) / VLOOKUP("buildings|PM25|Work loss days", US_national_yearly!$D:$AM, 10, FALSE), 1)</f>
        <v>0.33797544182218542</v>
      </c>
      <c r="K15" s="7">
        <f>$B15 * IFERROR(VLOOKUP("buildings|PM25|Work loss days", US_national_yearly!$D:$AM, 19, FALSE) / VLOOKUP("buildings|PM25|Work loss days", US_national_yearly!$D:$AM, 10, FALSE), 1)</f>
        <v>0.33994685612648018</v>
      </c>
      <c r="L15" s="7">
        <f>$B15 * IFERROR(VLOOKUP("buildings|PM25|Work loss days", US_national_yearly!$D:$AM, 20, FALSE) / VLOOKUP("buildings|PM25|Work loss days", US_national_yearly!$D:$AM, 10, FALSE), 1)</f>
        <v>0.34191827043077494</v>
      </c>
      <c r="M15" s="7">
        <f>$B15 * IFERROR(VLOOKUP("buildings|PM25|Work loss days", US_national_yearly!$D:$AM, 21, FALSE) / VLOOKUP("buildings|PM25|Work loss days", US_national_yearly!$D:$AM, 10, FALSE), 1)</f>
        <v>0.34388968473506976</v>
      </c>
      <c r="N15" s="7">
        <f>$B15 * IFERROR(VLOOKUP("buildings|PM25|Work loss days", US_national_yearly!$D:$AM, 22, FALSE) / VLOOKUP("buildings|PM25|Work loss days", US_national_yearly!$D:$AM, 10, FALSE), 1)</f>
        <v>0.34636827578498358</v>
      </c>
      <c r="O15" s="7">
        <f>$B15 * IFERROR(VLOOKUP("buildings|PM25|Work loss days", US_national_yearly!$D:$AM, 23, FALSE) / VLOOKUP("buildings|PM25|Work loss days", US_national_yearly!$D:$AM, 10, FALSE), 1)</f>
        <v>0.34884686683489746</v>
      </c>
      <c r="P15" s="7">
        <f>$B15 * IFERROR(VLOOKUP("buildings|PM25|Work loss days", US_national_yearly!$D:$AM, 24, FALSE) / VLOOKUP("buildings|PM25|Work loss days", US_national_yearly!$D:$AM, 10, FALSE), 1)</f>
        <v>0.35132545788481129</v>
      </c>
      <c r="Q15" s="7">
        <f>$B15 * IFERROR(VLOOKUP("buildings|PM25|Work loss days", US_national_yearly!$D:$AM, 25, FALSE) / VLOOKUP("buildings|PM25|Work loss days", US_national_yearly!$D:$AM, 10, FALSE), 1)</f>
        <v>0.35380404893472511</v>
      </c>
      <c r="R15" s="7">
        <f>$B15 * IFERROR(VLOOKUP("buildings|PM25|Work loss days", US_national_yearly!$D:$AM, 26, FALSE) / VLOOKUP("buildings|PM25|Work loss days", US_national_yearly!$D:$AM, 10, FALSE), 1)</f>
        <v>0.35628263998463905</v>
      </c>
      <c r="S15" s="7">
        <f>$B15 * IFERROR(VLOOKUP("buildings|PM25|Work loss days", US_national_yearly!$D:$AM, 27, FALSE) / VLOOKUP("buildings|PM25|Work loss days", US_national_yearly!$D:$AM, 10, FALSE), 1)</f>
        <v>0.35902055184701703</v>
      </c>
      <c r="T15" s="7">
        <f>$B15 * IFERROR(VLOOKUP("buildings|PM25|Work loss days", US_national_yearly!$D:$AM, 28, FALSE) / VLOOKUP("buildings|PM25|Work loss days", US_national_yearly!$D:$AM, 10, FALSE), 1)</f>
        <v>0.36175846370939513</v>
      </c>
      <c r="U15" s="7">
        <f>$B15 * IFERROR(VLOOKUP("buildings|PM25|Work loss days", US_national_yearly!$D:$AM, 29, FALSE) / VLOOKUP("buildings|PM25|Work loss days", US_national_yearly!$D:$AM, 10, FALSE), 1)</f>
        <v>0.36449637557177322</v>
      </c>
      <c r="V15" s="7">
        <f>$B15 * IFERROR(VLOOKUP("buildings|PM25|Work loss days", US_national_yearly!$D:$AM, 30, FALSE) / VLOOKUP("buildings|PM25|Work loss days", US_national_yearly!$D:$AM, 10, FALSE), 1)</f>
        <v>0.36723428743415126</v>
      </c>
      <c r="W15" s="7">
        <f>$B15 * IFERROR(VLOOKUP("buildings|PM25|Work loss days", US_national_yearly!$D:$AM, 31, FALSE) / VLOOKUP("buildings|PM25|Work loss days", US_national_yearly!$D:$AM, 10, FALSE), 1)</f>
        <v>0.36997219929652936</v>
      </c>
      <c r="X15" s="7">
        <f>$B15 * IFERROR(VLOOKUP("buildings|PM25|Work loss days", US_national_yearly!$D:$AM, 32, FALSE) / VLOOKUP("buildings|PM25|Work loss days", US_national_yearly!$D:$AM, 10, FALSE), 1)</f>
        <v>0.37240183512562419</v>
      </c>
      <c r="Y15" s="7">
        <f>$B15 * IFERROR(VLOOKUP("buildings|PM25|Work loss days", US_national_yearly!$D:$AM, 33, FALSE) / VLOOKUP("buildings|PM25|Work loss days", US_national_yearly!$D:$AM, 10, FALSE), 1)</f>
        <v>0.37483147095471908</v>
      </c>
      <c r="Z15" s="7">
        <f>$B15 * IFERROR(VLOOKUP("buildings|PM25|Work loss days", US_national_yearly!$D:$AM, 34, FALSE) / VLOOKUP("buildings|PM25|Work loss days", US_national_yearly!$D:$AM, 10, FALSE), 1)</f>
        <v>0.37726110678381392</v>
      </c>
      <c r="AA15" s="7">
        <f>$B15 * IFERROR(VLOOKUP("buildings|PM25|Work loss days", US_national_yearly!$D:$AM, 35, FALSE) / VLOOKUP("buildings|PM25|Work loss days", US_national_yearly!$D:$AM, 10, FALSE), 1)</f>
        <v>0.3796907426129088</v>
      </c>
      <c r="AB15" s="7">
        <f>$B15 * IFERROR(VLOOKUP("buildings|PM25|Work loss days", US_national_yearly!$D:$AM, 36, FALSE) / VLOOKUP("buildings|PM25|Work loss days", US_national_yearly!$D:$AM, 10, FALSE), 1)</f>
        <v>0.38212037844200364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7.8891479198914922E-4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8.1249257298279592E-4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8.3607035397644262E-4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8.5964813497008911E-4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8.8322591596373581E-4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9.0581699915413697E-4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9.2840808234453812E-4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9.4774812811835489E-4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9.6708817389217156E-4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9.8642821966598844E-4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1.0057682654398055E-3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1.0251083112136224E-3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1.0380226422416466E-3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1.0509369732696707E-3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1.0638513042976949E-3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1.0767656353257193E-3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1.0896799663537432E-3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1.0965422084586703E-3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1.103404450563597E-3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1.110266692668524E-3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1.1171289347734507E-3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1.1239911768783778E-3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1.128631126450853E-3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1.133271076023328E-3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1.1379110255958032E-3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1.1425509751682781E-3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1.1471909247407533E-3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2.8272968065967051E-4</v>
      </c>
      <c r="C2" s="7">
        <f>$B2 * IFERROR(VLOOKUP("buildings|NOx|Premature mortality", US_national_yearly!$D:$AM, 11, FALSE) / VLOOKUP("buildings|NOx|Premature mortality", US_national_yearly!$D:$AM, 10, FALSE), 1)</f>
        <v>2.8688826217230818E-4</v>
      </c>
      <c r="D2" s="7">
        <f>$B2 * IFERROR(VLOOKUP("buildings|NOx|Premature mortality", US_national_yearly!$D:$AM, 12, FALSE) / VLOOKUP("buildings|NOx|Premature mortality", US_national_yearly!$D:$AM, 10, FALSE), 1)</f>
        <v>2.9104684368494579E-4</v>
      </c>
      <c r="E2" s="7">
        <f>$B2 * IFERROR(VLOOKUP("buildings|NOx|Premature mortality", US_national_yearly!$D:$AM, 13, FALSE) / VLOOKUP("buildings|NOx|Premature mortality", US_national_yearly!$D:$AM, 10, FALSE), 1)</f>
        <v>2.952054251975834E-4</v>
      </c>
      <c r="F2" s="7">
        <f>$B2 * IFERROR(VLOOKUP("buildings|NOx|Premature mortality", US_national_yearly!$D:$AM, 14, FALSE) / VLOOKUP("buildings|NOx|Premature mortality", US_national_yearly!$D:$AM, 10, FALSE), 1)</f>
        <v>2.9936400671022102E-4</v>
      </c>
      <c r="G2" s="7">
        <f>$B2 * IFERROR(VLOOKUP("buildings|NOx|Premature mortality", US_national_yearly!$D:$AM, 15, FALSE) / VLOOKUP("buildings|NOx|Premature mortality", US_national_yearly!$D:$AM, 10, FALSE), 1)</f>
        <v>3.0683016747190132E-4</v>
      </c>
      <c r="H2" s="7">
        <f>$B2 * IFERROR(VLOOKUP("buildings|NOx|Premature mortality", US_national_yearly!$D:$AM, 16, FALSE) / VLOOKUP("buildings|NOx|Premature mortality", US_national_yearly!$D:$AM, 10, FALSE), 1)</f>
        <v>3.1429632823358169E-4</v>
      </c>
      <c r="I2" s="7">
        <f>$B2 * IFERROR(VLOOKUP("buildings|NOx|Premature mortality", US_national_yearly!$D:$AM, 17, FALSE) / VLOOKUP("buildings|NOx|Premature mortality", US_national_yearly!$D:$AM, 10, FALSE), 1)</f>
        <v>3.1912136350388938E-4</v>
      </c>
      <c r="J2" s="7">
        <f>$B2 * IFERROR(VLOOKUP("buildings|NOx|Premature mortality", US_national_yearly!$D:$AM, 18, FALSE) / VLOOKUP("buildings|NOx|Premature mortality", US_national_yearly!$D:$AM, 10, FALSE), 1)</f>
        <v>3.2394639877419702E-4</v>
      </c>
      <c r="K2" s="7">
        <f>$B2 * IFERROR(VLOOKUP("buildings|NOx|Premature mortality", US_national_yearly!$D:$AM, 19, FALSE) / VLOOKUP("buildings|NOx|Premature mortality", US_national_yearly!$D:$AM, 10, FALSE), 1)</f>
        <v>3.2877143404450477E-4</v>
      </c>
      <c r="L2" s="7">
        <f>$B2 * IFERROR(VLOOKUP("buildings|NOx|Premature mortality", US_national_yearly!$D:$AM, 20, FALSE) / VLOOKUP("buildings|NOx|Premature mortality", US_national_yearly!$D:$AM, 10, FALSE), 1)</f>
        <v>3.3359646931481246E-4</v>
      </c>
      <c r="M2" s="7">
        <f>$B2 * IFERROR(VLOOKUP("buildings|NOx|Premature mortality", US_national_yearly!$D:$AM, 21, FALSE) / VLOOKUP("buildings|NOx|Premature mortality", US_national_yearly!$D:$AM, 10, FALSE), 1)</f>
        <v>3.3842150458512021E-4</v>
      </c>
      <c r="N2" s="7">
        <f>$B2 * IFERROR(VLOOKUP("buildings|NOx|Premature mortality", US_national_yearly!$D:$AM, 22, FALSE) / VLOOKUP("buildings|NOx|Premature mortality", US_national_yearly!$D:$AM, 10, FALSE), 1)</f>
        <v>3.4199667153390683E-4</v>
      </c>
      <c r="O2" s="7">
        <f>$B2 * IFERROR(VLOOKUP("buildings|NOx|Premature mortality", US_national_yearly!$D:$AM, 23, FALSE) / VLOOKUP("buildings|NOx|Premature mortality", US_national_yearly!$D:$AM, 10, FALSE), 1)</f>
        <v>3.4557183848269357E-4</v>
      </c>
      <c r="P2" s="7">
        <f>$B2 * IFERROR(VLOOKUP("buildings|NOx|Premature mortality", US_national_yearly!$D:$AM, 24, FALSE) / VLOOKUP("buildings|NOx|Premature mortality", US_national_yearly!$D:$AM, 10, FALSE), 1)</f>
        <v>3.4914700543148031E-4</v>
      </c>
      <c r="Q2" s="7">
        <f>$B2 * IFERROR(VLOOKUP("buildings|NOx|Premature mortality", US_national_yearly!$D:$AM, 25, FALSE) / VLOOKUP("buildings|NOx|Premature mortality", US_national_yearly!$D:$AM, 10, FALSE), 1)</f>
        <v>3.5272217238026699E-4</v>
      </c>
      <c r="R2" s="7">
        <f>$B2 * IFERROR(VLOOKUP("buildings|NOx|Premature mortality", US_national_yearly!$D:$AM, 26, FALSE) / VLOOKUP("buildings|NOx|Premature mortality", US_national_yearly!$D:$AM, 10, FALSE), 1)</f>
        <v>3.5629733932905373E-4</v>
      </c>
      <c r="S2" s="7">
        <f>$B2 * IFERROR(VLOOKUP("buildings|NOx|Premature mortality", US_national_yearly!$D:$AM, 27, FALSE) / VLOOKUP("buildings|NOx|Premature mortality", US_national_yearly!$D:$AM, 10, FALSE), 1)</f>
        <v>3.5792275117737848E-4</v>
      </c>
      <c r="T2" s="7">
        <f>$B2 * IFERROR(VLOOKUP("buildings|NOx|Premature mortality", US_national_yearly!$D:$AM, 28, FALSE) / VLOOKUP("buildings|NOx|Premature mortality", US_national_yearly!$D:$AM, 10, FALSE), 1)</f>
        <v>3.5954816302570313E-4</v>
      </c>
      <c r="U2" s="7">
        <f>$B2 * IFERROR(VLOOKUP("buildings|NOx|Premature mortality", US_national_yearly!$D:$AM, 29, FALSE) / VLOOKUP("buildings|NOx|Premature mortality", US_national_yearly!$D:$AM, 10, FALSE), 1)</f>
        <v>3.6117357487402784E-4</v>
      </c>
      <c r="V2" s="7">
        <f>$B2 * IFERROR(VLOOKUP("buildings|NOx|Premature mortality", US_national_yearly!$D:$AM, 30, FALSE) / VLOOKUP("buildings|NOx|Premature mortality", US_national_yearly!$D:$AM, 10, FALSE), 1)</f>
        <v>3.6279898672235259E-4</v>
      </c>
      <c r="W2" s="7">
        <f>$B2 * IFERROR(VLOOKUP("buildings|NOx|Premature mortality", US_national_yearly!$D:$AM, 31, FALSE) / VLOOKUP("buildings|NOx|Premature mortality", US_national_yearly!$D:$AM, 10, FALSE), 1)</f>
        <v>3.6442439857067724E-4</v>
      </c>
      <c r="X2" s="7">
        <f>$B2 * IFERROR(VLOOKUP("buildings|NOx|Premature mortality", US_national_yearly!$D:$AM, 32, FALSE) / VLOOKUP("buildings|NOx|Premature mortality", US_national_yearly!$D:$AM, 10, FALSE), 1)</f>
        <v>3.6448164425099055E-4</v>
      </c>
      <c r="Y2" s="7">
        <f>$B2 * IFERROR(VLOOKUP("buildings|NOx|Premature mortality", US_national_yearly!$D:$AM, 33, FALSE) / VLOOKUP("buildings|NOx|Premature mortality", US_national_yearly!$D:$AM, 10, FALSE), 1)</f>
        <v>3.6453888993130386E-4</v>
      </c>
      <c r="Z2" s="7">
        <f>$B2 * IFERROR(VLOOKUP("buildings|NOx|Premature mortality", US_national_yearly!$D:$AM, 34, FALSE) / VLOOKUP("buildings|NOx|Premature mortality", US_national_yearly!$D:$AM, 10, FALSE), 1)</f>
        <v>3.6459613561161717E-4</v>
      </c>
      <c r="AA2" s="7">
        <f>$B2 * IFERROR(VLOOKUP("buildings|NOx|Premature mortality", US_national_yearly!$D:$AM, 35, FALSE) / VLOOKUP("buildings|NOx|Premature mortality", US_national_yearly!$D:$AM, 10, FALSE), 1)</f>
        <v>3.6465338129193042E-4</v>
      </c>
      <c r="AB2" s="7">
        <f>$B2 * IFERROR(VLOOKUP("buildings|NOx|Premature mortality", US_national_yearly!$D:$AM, 36, FALSE) / VLOOKUP("buildings|NOx|Premature mortality", US_national_yearly!$D:$AM, 10, FALSE), 1)</f>
        <v>3.6471062697224379E-4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8.053394468627221E-7</v>
      </c>
      <c r="C3" s="7">
        <f>$B3 * IFERROR(VLOOKUP("buildings|NOx|Infant mortality", US_national_yearly!$D:$AM, 11, FALSE) / VLOOKUP("buildings|NOx|Infant mortality", US_national_yearly!$D:$AM, 10, FALSE), 1)</f>
        <v>7.9768966729334646E-7</v>
      </c>
      <c r="D3" s="7">
        <f>$B3 * IFERROR(VLOOKUP("buildings|NOx|Infant mortality", US_national_yearly!$D:$AM, 12, FALSE) / VLOOKUP("buildings|NOx|Infant mortality", US_national_yearly!$D:$AM, 10, FALSE), 1)</f>
        <v>7.9003988772397061E-7</v>
      </c>
      <c r="E3" s="7">
        <f>$B3 * IFERROR(VLOOKUP("buildings|NOx|Infant mortality", US_national_yearly!$D:$AM, 13, FALSE) / VLOOKUP("buildings|NOx|Infant mortality", US_national_yearly!$D:$AM, 10, FALSE), 1)</f>
        <v>7.8239010815459487E-7</v>
      </c>
      <c r="F3" s="7">
        <f>$B3 * IFERROR(VLOOKUP("buildings|NOx|Infant mortality", US_national_yearly!$D:$AM, 14, FALSE) / VLOOKUP("buildings|NOx|Infant mortality", US_national_yearly!$D:$AM, 10, FALSE), 1)</f>
        <v>7.7474032858521902E-7</v>
      </c>
      <c r="G3" s="7">
        <f>$B3 * IFERROR(VLOOKUP("buildings|NOx|Infant mortality", US_national_yearly!$D:$AM, 15, FALSE) / VLOOKUP("buildings|NOx|Infant mortality", US_national_yearly!$D:$AM, 10, FALSE), 1)</f>
        <v>5.1422416785211555E-7</v>
      </c>
      <c r="H3" s="7">
        <f>$B3 * IFERROR(VLOOKUP("buildings|NOx|Infant mortality", US_national_yearly!$D:$AM, 16, FALSE) / VLOOKUP("buildings|NOx|Infant mortality", US_national_yearly!$D:$AM, 10, FALSE), 1)</f>
        <v>2.5370800711901203E-7</v>
      </c>
      <c r="I3" s="7">
        <f>$B3 * IFERROR(VLOOKUP("buildings|NOx|Infant mortality", US_national_yearly!$D:$AM, 17, FALSE) / VLOOKUP("buildings|NOx|Infant mortality", US_national_yearly!$D:$AM, 10, FALSE), 1)</f>
        <v>2.5191567209213158E-7</v>
      </c>
      <c r="J3" s="7">
        <f>$B3 * IFERROR(VLOOKUP("buildings|NOx|Infant mortality", US_national_yearly!$D:$AM, 18, FALSE) / VLOOKUP("buildings|NOx|Infant mortality", US_national_yearly!$D:$AM, 10, FALSE), 1)</f>
        <v>2.5012333706525102E-7</v>
      </c>
      <c r="K3" s="7">
        <f>$B3 * IFERROR(VLOOKUP("buildings|NOx|Infant mortality", US_national_yearly!$D:$AM, 19, FALSE) / VLOOKUP("buildings|NOx|Infant mortality", US_national_yearly!$D:$AM, 10, FALSE), 1)</f>
        <v>2.4833100203837058E-7</v>
      </c>
      <c r="L3" s="7">
        <f>$B3 * IFERROR(VLOOKUP("buildings|NOx|Infant mortality", US_national_yearly!$D:$AM, 20, FALSE) / VLOOKUP("buildings|NOx|Infant mortality", US_national_yearly!$D:$AM, 10, FALSE), 1)</f>
        <v>2.4653866701149007E-7</v>
      </c>
      <c r="M3" s="7">
        <f>$B3 * IFERROR(VLOOKUP("buildings|NOx|Infant mortality", US_national_yearly!$D:$AM, 21, FALSE) / VLOOKUP("buildings|NOx|Infant mortality", US_national_yearly!$D:$AM, 10, FALSE), 1)</f>
        <v>2.4474633198460957E-7</v>
      </c>
      <c r="N3" s="7">
        <f>$B3 * IFERROR(VLOOKUP("buildings|NOx|Infant mortality", US_national_yearly!$D:$AM, 22, FALSE) / VLOOKUP("buildings|NOx|Infant mortality", US_national_yearly!$D:$AM, 10, FALSE), 1)</f>
        <v>2.4355865191500292E-7</v>
      </c>
      <c r="O3" s="7">
        <f>$B3 * IFERROR(VLOOKUP("buildings|NOx|Infant mortality", US_national_yearly!$D:$AM, 23, FALSE) / VLOOKUP("buildings|NOx|Infant mortality", US_national_yearly!$D:$AM, 10, FALSE), 1)</f>
        <v>2.4237097184539626E-7</v>
      </c>
      <c r="P3" s="7">
        <f>$B3 * IFERROR(VLOOKUP("buildings|NOx|Infant mortality", US_national_yearly!$D:$AM, 24, FALSE) / VLOOKUP("buildings|NOx|Infant mortality", US_national_yearly!$D:$AM, 10, FALSE), 1)</f>
        <v>2.4118329177578961E-7</v>
      </c>
      <c r="Q3" s="7">
        <f>$B3 * IFERROR(VLOOKUP("buildings|NOx|Infant mortality", US_national_yearly!$D:$AM, 25, FALSE) / VLOOKUP("buildings|NOx|Infant mortality", US_national_yearly!$D:$AM, 10, FALSE), 1)</f>
        <v>2.3999561170618301E-7</v>
      </c>
      <c r="R3" s="7">
        <f>$B3 * IFERROR(VLOOKUP("buildings|NOx|Infant mortality", US_national_yearly!$D:$AM, 26, FALSE) / VLOOKUP("buildings|NOx|Infant mortality", US_national_yearly!$D:$AM, 10, FALSE), 1)</f>
        <v>2.3880793163657641E-7</v>
      </c>
      <c r="S3" s="7">
        <f>$B3 * IFERROR(VLOOKUP("buildings|NOx|Infant mortality", US_national_yearly!$D:$AM, 27, FALSE) / VLOOKUP("buildings|NOx|Infant mortality", US_national_yearly!$D:$AM, 10, FALSE), 1)</f>
        <v>2.3737922836738757E-7</v>
      </c>
      <c r="T3" s="7">
        <f>$B3 * IFERROR(VLOOKUP("buildings|NOx|Infant mortality", US_national_yearly!$D:$AM, 28, FALSE) / VLOOKUP("buildings|NOx|Infant mortality", US_national_yearly!$D:$AM, 10, FALSE), 1)</f>
        <v>2.3595052509819882E-7</v>
      </c>
      <c r="U3" s="7">
        <f>$B3 * IFERROR(VLOOKUP("buildings|NOx|Infant mortality", US_national_yearly!$D:$AM, 29, FALSE) / VLOOKUP("buildings|NOx|Infant mortality", US_national_yearly!$D:$AM, 10, FALSE), 1)</f>
        <v>2.3452182182901002E-7</v>
      </c>
      <c r="V3" s="7">
        <f>$B3 * IFERROR(VLOOKUP("buildings|NOx|Infant mortality", US_national_yearly!$D:$AM, 30, FALSE) / VLOOKUP("buildings|NOx|Infant mortality", US_national_yearly!$D:$AM, 10, FALSE), 1)</f>
        <v>2.3309311855982121E-7</v>
      </c>
      <c r="W3" s="7">
        <f>$B3 * IFERROR(VLOOKUP("buildings|NOx|Infant mortality", US_national_yearly!$D:$AM, 31, FALSE) / VLOOKUP("buildings|NOx|Infant mortality", US_national_yearly!$D:$AM, 10, FALSE), 1)</f>
        <v>2.3166441529063246E-7</v>
      </c>
      <c r="X3" s="7">
        <f>$B3 * IFERROR(VLOOKUP("buildings|NOx|Infant mortality", US_national_yearly!$D:$AM, 32, FALSE) / VLOOKUP("buildings|NOx|Infant mortality", US_national_yearly!$D:$AM, 10, FALSE), 1)</f>
        <v>2.3015272201437672E-7</v>
      </c>
      <c r="Y3" s="7">
        <f>$B3 * IFERROR(VLOOKUP("buildings|NOx|Infant mortality", US_national_yearly!$D:$AM, 33, FALSE) / VLOOKUP("buildings|NOx|Infant mortality", US_national_yearly!$D:$AM, 10, FALSE), 1)</f>
        <v>2.2864102873812101E-7</v>
      </c>
      <c r="Z3" s="7">
        <f>$B3 * IFERROR(VLOOKUP("buildings|NOx|Infant mortality", US_national_yearly!$D:$AM, 34, FALSE) / VLOOKUP("buildings|NOx|Infant mortality", US_national_yearly!$D:$AM, 10, FALSE), 1)</f>
        <v>2.2712933546186525E-7</v>
      </c>
      <c r="AA3" s="7">
        <f>$B3 * IFERROR(VLOOKUP("buildings|NOx|Infant mortality", US_national_yearly!$D:$AM, 35, FALSE) / VLOOKUP("buildings|NOx|Infant mortality", US_national_yearly!$D:$AM, 10, FALSE), 1)</f>
        <v>2.2561764218560948E-7</v>
      </c>
      <c r="AB3" s="7">
        <f>$B3 * IFERROR(VLOOKUP("buildings|NOx|Infant mortality", US_national_yearly!$D:$AM, 36, FALSE) / VLOOKUP("buildings|NOx|Infant mortality", US_national_yearly!$D:$AM, 10, FALSE), 1)</f>
        <v>2.2410594890935372E-7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6.5973298253874774E-4</v>
      </c>
      <c r="C6" s="7">
        <f>$B6 * IFERROR(VLOOKUP("buildings|NOx|Asthma symptoms cough", US_national_yearly!$D:$AM, 11, FALSE) / VLOOKUP("buildings|NOx|Asthma symptoms cough", US_national_yearly!$D:$AM, 10, FALSE), 1)</f>
        <v>6.687616081038568E-4</v>
      </c>
      <c r="D6" s="7">
        <f>$B6 * IFERROR(VLOOKUP("buildings|NOx|Asthma symptoms cough", US_national_yearly!$D:$AM, 12, FALSE) / VLOOKUP("buildings|NOx|Asthma symptoms cough", US_national_yearly!$D:$AM, 10, FALSE), 1)</f>
        <v>6.7779023366896596E-4</v>
      </c>
      <c r="E6" s="7">
        <f>$B6 * IFERROR(VLOOKUP("buildings|NOx|Asthma symptoms cough", US_national_yearly!$D:$AM, 13, FALSE) / VLOOKUP("buildings|NOx|Asthma symptoms cough", US_national_yearly!$D:$AM, 10, FALSE), 1)</f>
        <v>6.868188592340749E-4</v>
      </c>
      <c r="F6" s="7">
        <f>$B6 * IFERROR(VLOOKUP("buildings|NOx|Asthma symptoms cough", US_national_yearly!$D:$AM, 14, FALSE) / VLOOKUP("buildings|NOx|Asthma symptoms cough", US_national_yearly!$D:$AM, 10, FALSE), 1)</f>
        <v>6.9584748479918396E-4</v>
      </c>
      <c r="G6" s="7">
        <f>$B6 * IFERROR(VLOOKUP("buildings|NOx|Asthma symptoms cough", US_national_yearly!$D:$AM, 15, FALSE) / VLOOKUP("buildings|NOx|Asthma symptoms cough", US_national_yearly!$D:$AM, 10, FALSE), 1)</f>
        <v>7.0306304840608575E-4</v>
      </c>
      <c r="H6" s="7">
        <f>$B6 * IFERROR(VLOOKUP("buildings|NOx|Asthma symptoms cough", US_national_yearly!$D:$AM, 16, FALSE) / VLOOKUP("buildings|NOx|Asthma symptoms cough", US_national_yearly!$D:$AM, 10, FALSE), 1)</f>
        <v>7.1027861201298766E-4</v>
      </c>
      <c r="I6" s="7">
        <f>$B6 * IFERROR(VLOOKUP("buildings|NOx|Asthma symptoms cough", US_national_yearly!$D:$AM, 17, FALSE) / VLOOKUP("buildings|NOx|Asthma symptoms cough", US_national_yearly!$D:$AM, 10, FALSE), 1)</f>
        <v>7.1277570546670124E-4</v>
      </c>
      <c r="J6" s="7">
        <f>$B6 * IFERROR(VLOOKUP("buildings|NOx|Asthma symptoms cough", US_national_yearly!$D:$AM, 18, FALSE) / VLOOKUP("buildings|NOx|Asthma symptoms cough", US_national_yearly!$D:$AM, 10, FALSE), 1)</f>
        <v>7.1527279892041472E-4</v>
      </c>
      <c r="K6" s="7">
        <f>$B6 * IFERROR(VLOOKUP("buildings|NOx|Asthma symptoms cough", US_national_yearly!$D:$AM, 19, FALSE) / VLOOKUP("buildings|NOx|Asthma symptoms cough", US_national_yearly!$D:$AM, 10, FALSE), 1)</f>
        <v>7.177698923741282E-4</v>
      </c>
      <c r="L6" s="7">
        <f>$B6 * IFERROR(VLOOKUP("buildings|NOx|Asthma symptoms cough", US_national_yearly!$D:$AM, 20, FALSE) / VLOOKUP("buildings|NOx|Asthma symptoms cough", US_national_yearly!$D:$AM, 10, FALSE), 1)</f>
        <v>7.2026698582784167E-4</v>
      </c>
      <c r="M6" s="7">
        <f>$B6 * IFERROR(VLOOKUP("buildings|NOx|Asthma symptoms cough", US_national_yearly!$D:$AM, 21, FALSE) / VLOOKUP("buildings|NOx|Asthma symptoms cough", US_national_yearly!$D:$AM, 10, FALSE), 1)</f>
        <v>7.2276407928155515E-4</v>
      </c>
      <c r="N6" s="7">
        <f>$B6 * IFERROR(VLOOKUP("buildings|NOx|Asthma symptoms cough", US_national_yearly!$D:$AM, 22, FALSE) / VLOOKUP("buildings|NOx|Asthma symptoms cough", US_national_yearly!$D:$AM, 10, FALSE), 1)</f>
        <v>7.2565149917775199E-4</v>
      </c>
      <c r="O6" s="7">
        <f>$B6 * IFERROR(VLOOKUP("buildings|NOx|Asthma symptoms cough", US_national_yearly!$D:$AM, 23, FALSE) / VLOOKUP("buildings|NOx|Asthma symptoms cough", US_national_yearly!$D:$AM, 10, FALSE), 1)</f>
        <v>7.2853891907394882E-4</v>
      </c>
      <c r="P6" s="7">
        <f>$B6 * IFERROR(VLOOKUP("buildings|NOx|Asthma symptoms cough", US_national_yearly!$D:$AM, 24, FALSE) / VLOOKUP("buildings|NOx|Asthma symptoms cough", US_national_yearly!$D:$AM, 10, FALSE), 1)</f>
        <v>7.3142633897014555E-4</v>
      </c>
      <c r="Q6" s="7">
        <f>$B6 * IFERROR(VLOOKUP("buildings|NOx|Asthma symptoms cough", US_national_yearly!$D:$AM, 25, FALSE) / VLOOKUP("buildings|NOx|Asthma symptoms cough", US_national_yearly!$D:$AM, 10, FALSE), 1)</f>
        <v>7.3431375886634249E-4</v>
      </c>
      <c r="R6" s="7">
        <f>$B6 * IFERROR(VLOOKUP("buildings|NOx|Asthma symptoms cough", US_national_yearly!$D:$AM, 26, FALSE) / VLOOKUP("buildings|NOx|Asthma symptoms cough", US_national_yearly!$D:$AM, 10, FALSE), 1)</f>
        <v>7.3720117876253921E-4</v>
      </c>
      <c r="S6" s="7">
        <f>$B6 * IFERROR(VLOOKUP("buildings|NOx|Asthma symptoms cough", US_national_yearly!$D:$AM, 27, FALSE) / VLOOKUP("buildings|NOx|Asthma symptoms cough", US_national_yearly!$D:$AM, 10, FALSE), 1)</f>
        <v>7.409722103393023E-4</v>
      </c>
      <c r="T6" s="7">
        <f>$B6 * IFERROR(VLOOKUP("buildings|NOx|Asthma symptoms cough", US_national_yearly!$D:$AM, 28, FALSE) / VLOOKUP("buildings|NOx|Asthma symptoms cough", US_national_yearly!$D:$AM, 10, FALSE), 1)</f>
        <v>7.4474324191606516E-4</v>
      </c>
      <c r="U6" s="7">
        <f>$B6 * IFERROR(VLOOKUP("buildings|NOx|Asthma symptoms cough", US_national_yearly!$D:$AM, 29, FALSE) / VLOOKUP("buildings|NOx|Asthma symptoms cough", US_national_yearly!$D:$AM, 10, FALSE), 1)</f>
        <v>7.4851427349282814E-4</v>
      </c>
      <c r="V6" s="7">
        <f>$B6 * IFERROR(VLOOKUP("buildings|NOx|Asthma symptoms cough", US_national_yearly!$D:$AM, 30, FALSE) / VLOOKUP("buildings|NOx|Asthma symptoms cough", US_national_yearly!$D:$AM, 10, FALSE), 1)</f>
        <v>7.5228530506959133E-4</v>
      </c>
      <c r="W6" s="7">
        <f>$B6 * IFERROR(VLOOKUP("buildings|NOx|Asthma symptoms cough", US_national_yearly!$D:$AM, 31, FALSE) / VLOOKUP("buildings|NOx|Asthma symptoms cough", US_national_yearly!$D:$AM, 10, FALSE), 1)</f>
        <v>7.560563366463542E-4</v>
      </c>
      <c r="X6" s="7">
        <f>$B6 * IFERROR(VLOOKUP("buildings|NOx|Asthma symptoms cough", US_national_yearly!$D:$AM, 32, FALSE) / VLOOKUP("buildings|NOx|Asthma symptoms cough", US_national_yearly!$D:$AM, 10, FALSE), 1)</f>
        <v>7.5956014388515894E-4</v>
      </c>
      <c r="Y6" s="7">
        <f>$B6 * IFERROR(VLOOKUP("buildings|NOx|Asthma symptoms cough", US_national_yearly!$D:$AM, 33, FALSE) / VLOOKUP("buildings|NOx|Asthma symptoms cough", US_national_yearly!$D:$AM, 10, FALSE), 1)</f>
        <v>7.6306395112396379E-4</v>
      </c>
      <c r="Z6" s="7">
        <f>$B6 * IFERROR(VLOOKUP("buildings|NOx|Asthma symptoms cough", US_national_yearly!$D:$AM, 34, FALSE) / VLOOKUP("buildings|NOx|Asthma symptoms cough", US_national_yearly!$D:$AM, 10, FALSE), 1)</f>
        <v>7.6656775836276864E-4</v>
      </c>
      <c r="AA6" s="7">
        <f>$B6 * IFERROR(VLOOKUP("buildings|NOx|Asthma symptoms cough", US_national_yearly!$D:$AM, 35, FALSE) / VLOOKUP("buildings|NOx|Asthma symptoms cough", US_national_yearly!$D:$AM, 10, FALSE), 1)</f>
        <v>7.7007156560157349E-4</v>
      </c>
      <c r="AB6" s="7">
        <f>$B6 * IFERROR(VLOOKUP("buildings|NOx|Asthma symptoms cough", US_national_yearly!$D:$AM, 36, FALSE) / VLOOKUP("buildings|NOx|Asthma symptoms cough", US_national_yearly!$D:$AM, 10, FALSE), 1)</f>
        <v>7.7357537284037834E-4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8.884264207235736E-4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9.0058477825803967E-4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9.1274313579250575E-4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9.2490149332697183E-4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9.3705985086143791E-4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9.4677665674075247E-4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9.5649346262006703E-4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9.5985616211727114E-4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9.6321886161447492E-4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9.6658156111167914E-4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9.6994426060888325E-4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9.7330696010608725E-4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9.7719529093844102E-4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9.8108362177079501E-4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9.8497195260314877E-4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9.8886028343550276E-4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9.9274861426785653E-4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9.9782685676504026E-4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1.0029050992622238E-3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1.0079833417594073E-3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1.0130615842565908E-3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1.0181398267537743E-3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1.0228582128104168E-3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1.0275765988670593E-3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1.0322949849237018E-3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1.0370133709803439E-3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1.0417317570369864E-3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1.3573641806286381E-3</v>
      </c>
      <c r="C8" s="7">
        <f>$B8 * IFERROR(VLOOKUP("buildings|NOx|Asthma symptoms wheeze", US_national_yearly!$D:$AM, 11, FALSE) / VLOOKUP("buildings|NOx|Asthma symptoms wheeze", US_national_yearly!$D:$AM, 10, FALSE), 1)</f>
        <v>1.3759400791687854E-3</v>
      </c>
      <c r="D8" s="7">
        <f>$B8 * IFERROR(VLOOKUP("buildings|NOx|Asthma symptoms wheeze", US_national_yearly!$D:$AM, 12, FALSE) / VLOOKUP("buildings|NOx|Asthma symptoms wheeze", US_national_yearly!$D:$AM, 10, FALSE), 1)</f>
        <v>1.3945159777089327E-3</v>
      </c>
      <c r="E8" s="7">
        <f>$B8 * IFERROR(VLOOKUP("buildings|NOx|Asthma symptoms wheeze", US_national_yearly!$D:$AM, 13, FALSE) / VLOOKUP("buildings|NOx|Asthma symptoms wheeze", US_national_yearly!$D:$AM, 10, FALSE), 1)</f>
        <v>1.4130918762490796E-3</v>
      </c>
      <c r="F8" s="7">
        <f>$B8 * IFERROR(VLOOKUP("buildings|NOx|Asthma symptoms wheeze", US_national_yearly!$D:$AM, 14, FALSE) / VLOOKUP("buildings|NOx|Asthma symptoms wheeze", US_national_yearly!$D:$AM, 10, FALSE), 1)</f>
        <v>1.4316677747892273E-3</v>
      </c>
      <c r="G8" s="7">
        <f>$B8 * IFERROR(VLOOKUP("buildings|NOx|Asthma symptoms wheeze", US_national_yearly!$D:$AM, 15, FALSE) / VLOOKUP("buildings|NOx|Asthma symptoms wheeze", US_national_yearly!$D:$AM, 10, FALSE), 1)</f>
        <v>1.4465133984678086E-3</v>
      </c>
      <c r="H8" s="7">
        <f>$B8 * IFERROR(VLOOKUP("buildings|NOx|Asthma symptoms wheeze", US_national_yearly!$D:$AM, 16, FALSE) / VLOOKUP("buildings|NOx|Asthma symptoms wheeze", US_national_yearly!$D:$AM, 10, FALSE), 1)</f>
        <v>1.4613590221463895E-3</v>
      </c>
      <c r="I8" s="7">
        <f>$B8 * IFERROR(VLOOKUP("buildings|NOx|Asthma symptoms wheeze", US_national_yearly!$D:$AM, 17, FALSE) / VLOOKUP("buildings|NOx|Asthma symptoms wheeze", US_national_yearly!$D:$AM, 10, FALSE), 1)</f>
        <v>1.4664966540389747E-3</v>
      </c>
      <c r="J8" s="7">
        <f>$B8 * IFERROR(VLOOKUP("buildings|NOx|Asthma symptoms wheeze", US_national_yearly!$D:$AM, 18, FALSE) / VLOOKUP("buildings|NOx|Asthma symptoms wheeze", US_national_yearly!$D:$AM, 10, FALSE), 1)</f>
        <v>1.4716342859315596E-3</v>
      </c>
      <c r="K8" s="7">
        <f>$B8 * IFERROR(VLOOKUP("buildings|NOx|Asthma symptoms wheeze", US_national_yearly!$D:$AM, 19, FALSE) / VLOOKUP("buildings|NOx|Asthma symptoms wheeze", US_national_yearly!$D:$AM, 10, FALSE), 1)</f>
        <v>1.4767719178241444E-3</v>
      </c>
      <c r="L8" s="7">
        <f>$B8 * IFERROR(VLOOKUP("buildings|NOx|Asthma symptoms wheeze", US_national_yearly!$D:$AM, 20, FALSE) / VLOOKUP("buildings|NOx|Asthma symptoms wheeze", US_national_yearly!$D:$AM, 10, FALSE), 1)</f>
        <v>1.4819095497167292E-3</v>
      </c>
      <c r="M8" s="7">
        <f>$B8 * IFERROR(VLOOKUP("buildings|NOx|Asthma symptoms wheeze", US_national_yearly!$D:$AM, 21, FALSE) / VLOOKUP("buildings|NOx|Asthma symptoms wheeze", US_national_yearly!$D:$AM, 10, FALSE), 1)</f>
        <v>1.4870471816093142E-3</v>
      </c>
      <c r="N8" s="7">
        <f>$B8 * IFERROR(VLOOKUP("buildings|NOx|Asthma symptoms wheeze", US_national_yearly!$D:$AM, 22, FALSE) / VLOOKUP("buildings|NOx|Asthma symptoms wheeze", US_national_yearly!$D:$AM, 10, FALSE), 1)</f>
        <v>1.4929878886038694E-3</v>
      </c>
      <c r="O8" s="7">
        <f>$B8 * IFERROR(VLOOKUP("buildings|NOx|Asthma symptoms wheeze", US_national_yearly!$D:$AM, 23, FALSE) / VLOOKUP("buildings|NOx|Asthma symptoms wheeze", US_national_yearly!$D:$AM, 10, FALSE), 1)</f>
        <v>1.498928595598425E-3</v>
      </c>
      <c r="P8" s="7">
        <f>$B8 * IFERROR(VLOOKUP("buildings|NOx|Asthma symptoms wheeze", US_national_yearly!$D:$AM, 24, FALSE) / VLOOKUP("buildings|NOx|Asthma symptoms wheeze", US_national_yearly!$D:$AM, 10, FALSE), 1)</f>
        <v>1.5048693025929802E-3</v>
      </c>
      <c r="Q8" s="7">
        <f>$B8 * IFERROR(VLOOKUP("buildings|NOx|Asthma symptoms wheeze", US_national_yearly!$D:$AM, 25, FALSE) / VLOOKUP("buildings|NOx|Asthma symptoms wheeze", US_national_yearly!$D:$AM, 10, FALSE), 1)</f>
        <v>1.5108100095875356E-3</v>
      </c>
      <c r="R8" s="7">
        <f>$B8 * IFERROR(VLOOKUP("buildings|NOx|Asthma symptoms wheeze", US_national_yearly!$D:$AM, 26, FALSE) / VLOOKUP("buildings|NOx|Asthma symptoms wheeze", US_national_yearly!$D:$AM, 10, FALSE), 1)</f>
        <v>1.5167507165820908E-3</v>
      </c>
      <c r="S8" s="7">
        <f>$B8 * IFERROR(VLOOKUP("buildings|NOx|Asthma symptoms wheeze", US_national_yearly!$D:$AM, 27, FALSE) / VLOOKUP("buildings|NOx|Asthma symptoms wheeze", US_national_yearly!$D:$AM, 10, FALSE), 1)</f>
        <v>1.524509405818652E-3</v>
      </c>
      <c r="T8" s="7">
        <f>$B8 * IFERROR(VLOOKUP("buildings|NOx|Asthma symptoms wheeze", US_national_yearly!$D:$AM, 28, FALSE) / VLOOKUP("buildings|NOx|Asthma symptoms wheeze", US_national_yearly!$D:$AM, 10, FALSE), 1)</f>
        <v>1.5322680950552131E-3</v>
      </c>
      <c r="U8" s="7">
        <f>$B8 * IFERROR(VLOOKUP("buildings|NOx|Asthma symptoms wheeze", US_national_yearly!$D:$AM, 29, FALSE) / VLOOKUP("buildings|NOx|Asthma symptoms wheeze", US_national_yearly!$D:$AM, 10, FALSE), 1)</f>
        <v>1.5400267842917744E-3</v>
      </c>
      <c r="V8" s="7">
        <f>$B8 * IFERROR(VLOOKUP("buildings|NOx|Asthma symptoms wheeze", US_national_yearly!$D:$AM, 30, FALSE) / VLOOKUP("buildings|NOx|Asthma symptoms wheeze", US_national_yearly!$D:$AM, 10, FALSE), 1)</f>
        <v>1.5477854735283356E-3</v>
      </c>
      <c r="W8" s="7">
        <f>$B8 * IFERROR(VLOOKUP("buildings|NOx|Asthma symptoms wheeze", US_national_yearly!$D:$AM, 31, FALSE) / VLOOKUP("buildings|NOx|Asthma symptoms wheeze", US_national_yearly!$D:$AM, 10, FALSE), 1)</f>
        <v>1.5555441627648967E-3</v>
      </c>
      <c r="X8" s="7">
        <f>$B8 * IFERROR(VLOOKUP("buildings|NOx|Asthma symptoms wheeze", US_national_yearly!$D:$AM, 32, FALSE) / VLOOKUP("buildings|NOx|Asthma symptoms wheeze", US_national_yearly!$D:$AM, 10, FALSE), 1)</f>
        <v>1.5627530526823429E-3</v>
      </c>
      <c r="Y8" s="7">
        <f>$B8 * IFERROR(VLOOKUP("buildings|NOx|Asthma symptoms wheeze", US_national_yearly!$D:$AM, 33, FALSE) / VLOOKUP("buildings|NOx|Asthma symptoms wheeze", US_national_yearly!$D:$AM, 10, FALSE), 1)</f>
        <v>1.5699619425997889E-3</v>
      </c>
      <c r="Z8" s="7">
        <f>$B8 * IFERROR(VLOOKUP("buildings|NOx|Asthma symptoms wheeze", US_national_yearly!$D:$AM, 34, FALSE) / VLOOKUP("buildings|NOx|Asthma symptoms wheeze", US_national_yearly!$D:$AM, 10, FALSE), 1)</f>
        <v>1.5771708325172354E-3</v>
      </c>
      <c r="AA8" s="7">
        <f>$B8 * IFERROR(VLOOKUP("buildings|NOx|Asthma symptoms wheeze", US_national_yearly!$D:$AM, 35, FALSE) / VLOOKUP("buildings|NOx|Asthma symptoms wheeze", US_national_yearly!$D:$AM, 10, FALSE), 1)</f>
        <v>1.5843797224346814E-3</v>
      </c>
      <c r="AB8" s="7">
        <f>$B8 * IFERROR(VLOOKUP("buildings|NOx|Asthma symptoms wheeze", US_national_yearly!$D:$AM, 36, FALSE) / VLOOKUP("buildings|NOx|Asthma symptoms wheeze", US_national_yearly!$D:$AM, 10, FALSE), 1)</f>
        <v>1.5915886123521279E-3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2.2574860822240557E-5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2.3138879057276767E-5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2.3702897292312976E-5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2.4266915527349185E-5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2.4830933762385394E-5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2.5370152358032474E-5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2.5909370953679539E-5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2.6367424446548485E-5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2.6825477939417431E-5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2.7283531432286377E-5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2.7741584925155323E-5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2.8199638418024269E-5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2.8505844657701928E-5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2.8812050897379588E-5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2.9118257137057247E-5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2.942446337673491E-5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2.9730669616412566E-5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2.9894848129081294E-5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3.0059026641750026E-5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3.0223205154418757E-5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3.0387383667087486E-5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3.0551562179756211E-5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3.0663950118371953E-5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3.0776338056987681E-5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3.0888725995603424E-5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3.1001113934219159E-5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3.1113501872834894E-5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1.1374050190177083E-4</v>
      </c>
      <c r="C13" s="7">
        <f>$B13 * IFERROR(VLOOKUP("buildings|NOx|Non-fatal heart attacks", US_national_yearly!$D:$AM, 11, FALSE) / VLOOKUP("buildings|NOx|Non-fatal heart attacks", US_national_yearly!$D:$AM, 10, FALSE), 1)</f>
        <v>1.1699438575987561E-4</v>
      </c>
      <c r="D13" s="7">
        <f>$B13 * IFERROR(VLOOKUP("buildings|NOx|Non-fatal heart attacks", US_national_yearly!$D:$AM, 12, FALSE) / VLOOKUP("buildings|NOx|Non-fatal heart attacks", US_national_yearly!$D:$AM, 10, FALSE), 1)</f>
        <v>1.2024826961798043E-4</v>
      </c>
      <c r="E13" s="7">
        <f>$B13 * IFERROR(VLOOKUP("buildings|NOx|Non-fatal heart attacks", US_national_yearly!$D:$AM, 13, FALSE) / VLOOKUP("buildings|NOx|Non-fatal heart attacks", US_national_yearly!$D:$AM, 10, FALSE), 1)</f>
        <v>1.2350215347608519E-4</v>
      </c>
      <c r="F13" s="7">
        <f>$B13 * IFERROR(VLOOKUP("buildings|NOx|Non-fatal heart attacks", US_national_yearly!$D:$AM, 14, FALSE) / VLOOKUP("buildings|NOx|Non-fatal heart attacks", US_national_yearly!$D:$AM, 10, FALSE), 1)</f>
        <v>1.2675603733418997E-4</v>
      </c>
      <c r="G13" s="7">
        <f>$B13 * IFERROR(VLOOKUP("buildings|NOx|Non-fatal heart attacks", US_national_yearly!$D:$AM, 15, FALSE) / VLOOKUP("buildings|NOx|Non-fatal heart attacks", US_national_yearly!$D:$AM, 10, FALSE), 1)</f>
        <v>1.2979743163211903E-4</v>
      </c>
      <c r="H13" s="7">
        <f>$B13 * IFERROR(VLOOKUP("buildings|NOx|Non-fatal heart attacks", US_national_yearly!$D:$AM, 16, FALSE) / VLOOKUP("buildings|NOx|Non-fatal heart attacks", US_national_yearly!$D:$AM, 10, FALSE), 1)</f>
        <v>1.328388259300481E-4</v>
      </c>
      <c r="I13" s="7">
        <f>$B13 * IFERROR(VLOOKUP("buildings|NOx|Non-fatal heart attacks", US_national_yearly!$D:$AM, 17, FALSE) / VLOOKUP("buildings|NOx|Non-fatal heart attacks", US_national_yearly!$D:$AM, 10, FALSE), 1)</f>
        <v>1.3523826740185539E-4</v>
      </c>
      <c r="J13" s="7">
        <f>$B13 * IFERROR(VLOOKUP("buildings|NOx|Non-fatal heart attacks", US_national_yearly!$D:$AM, 18, FALSE) / VLOOKUP("buildings|NOx|Non-fatal heart attacks", US_national_yearly!$D:$AM, 10, FALSE), 1)</f>
        <v>1.3763770887366267E-4</v>
      </c>
      <c r="K13" s="7">
        <f>$B13 * IFERROR(VLOOKUP("buildings|NOx|Non-fatal heart attacks", US_national_yearly!$D:$AM, 19, FALSE) / VLOOKUP("buildings|NOx|Non-fatal heart attacks", US_national_yearly!$D:$AM, 10, FALSE), 1)</f>
        <v>1.4003715034547002E-4</v>
      </c>
      <c r="L13" s="7">
        <f>$B13 * IFERROR(VLOOKUP("buildings|NOx|Non-fatal heart attacks", US_national_yearly!$D:$AM, 20, FALSE) / VLOOKUP("buildings|NOx|Non-fatal heart attacks", US_national_yearly!$D:$AM, 10, FALSE), 1)</f>
        <v>1.4243659181727722E-4</v>
      </c>
      <c r="M13" s="7">
        <f>$B13 * IFERROR(VLOOKUP("buildings|NOx|Non-fatal heart attacks", US_national_yearly!$D:$AM, 21, FALSE) / VLOOKUP("buildings|NOx|Non-fatal heart attacks", US_national_yearly!$D:$AM, 10, FALSE), 1)</f>
        <v>1.4483603328908456E-4</v>
      </c>
      <c r="N13" s="7">
        <f>$B13 * IFERROR(VLOOKUP("buildings|NOx|Non-fatal heart attacks", US_national_yearly!$D:$AM, 22, FALSE) / VLOOKUP("buildings|NOx|Non-fatal heart attacks", US_national_yearly!$D:$AM, 10, FALSE), 1)</f>
        <v>1.4628008990355697E-4</v>
      </c>
      <c r="O13" s="7">
        <f>$B13 * IFERROR(VLOOKUP("buildings|NOx|Non-fatal heart attacks", US_national_yearly!$D:$AM, 23, FALSE) / VLOOKUP("buildings|NOx|Non-fatal heart attacks", US_national_yearly!$D:$AM, 10, FALSE), 1)</f>
        <v>1.4772414651802933E-4</v>
      </c>
      <c r="P13" s="7">
        <f>$B13 * IFERROR(VLOOKUP("buildings|NOx|Non-fatal heart attacks", US_national_yearly!$D:$AM, 24, FALSE) / VLOOKUP("buildings|NOx|Non-fatal heart attacks", US_national_yearly!$D:$AM, 10, FALSE), 1)</f>
        <v>1.4916820313250174E-4</v>
      </c>
      <c r="Q13" s="7">
        <f>$B13 * IFERROR(VLOOKUP("buildings|NOx|Non-fatal heart attacks", US_national_yearly!$D:$AM, 25, FALSE) / VLOOKUP("buildings|NOx|Non-fatal heart attacks", US_national_yearly!$D:$AM, 10, FALSE), 1)</f>
        <v>1.5061225974697415E-4</v>
      </c>
      <c r="R13" s="7">
        <f>$B13 * IFERROR(VLOOKUP("buildings|NOx|Non-fatal heart attacks", US_national_yearly!$D:$AM, 26, FALSE) / VLOOKUP("buildings|NOx|Non-fatal heart attacks", US_national_yearly!$D:$AM, 10, FALSE), 1)</f>
        <v>1.5205631636144653E-4</v>
      </c>
      <c r="S13" s="7">
        <f>$B13 * IFERROR(VLOOKUP("buildings|NOx|Non-fatal heart attacks", US_national_yearly!$D:$AM, 27, FALSE) / VLOOKUP("buildings|NOx|Non-fatal heart attacks", US_national_yearly!$D:$AM, 10, FALSE), 1)</f>
        <v>1.5271255233762664E-4</v>
      </c>
      <c r="T13" s="7">
        <f>$B13 * IFERROR(VLOOKUP("buildings|NOx|Non-fatal heart attacks", US_national_yearly!$D:$AM, 28, FALSE) / VLOOKUP("buildings|NOx|Non-fatal heart attacks", US_national_yearly!$D:$AM, 10, FALSE), 1)</f>
        <v>1.5336878831380681E-4</v>
      </c>
      <c r="U13" s="7">
        <f>$B13 * IFERROR(VLOOKUP("buildings|NOx|Non-fatal heart attacks", US_national_yearly!$D:$AM, 29, FALSE) / VLOOKUP("buildings|NOx|Non-fatal heart attacks", US_national_yearly!$D:$AM, 10, FALSE), 1)</f>
        <v>1.5402502428998695E-4</v>
      </c>
      <c r="V13" s="7">
        <f>$B13 * IFERROR(VLOOKUP("buildings|NOx|Non-fatal heart attacks", US_national_yearly!$D:$AM, 30, FALSE) / VLOOKUP("buildings|NOx|Non-fatal heart attacks", US_national_yearly!$D:$AM, 10, FALSE), 1)</f>
        <v>1.5468126026616706E-4</v>
      </c>
      <c r="W13" s="7">
        <f>$B13 * IFERROR(VLOOKUP("buildings|NOx|Non-fatal heart attacks", US_national_yearly!$D:$AM, 31, FALSE) / VLOOKUP("buildings|NOx|Non-fatal heart attacks", US_national_yearly!$D:$AM, 10, FALSE), 1)</f>
        <v>1.553374962423472E-4</v>
      </c>
      <c r="X13" s="7">
        <f>$B13 * IFERROR(VLOOKUP("buildings|NOx|Non-fatal heart attacks", US_national_yearly!$D:$AM, 32, FALSE) / VLOOKUP("buildings|NOx|Non-fatal heart attacks", US_national_yearly!$D:$AM, 10, FALSE), 1)</f>
        <v>1.5577646467213266E-4</v>
      </c>
      <c r="Y13" s="7">
        <f>$B13 * IFERROR(VLOOKUP("buildings|NOx|Non-fatal heart attacks", US_national_yearly!$D:$AM, 33, FALSE) / VLOOKUP("buildings|NOx|Non-fatal heart attacks", US_national_yearly!$D:$AM, 10, FALSE), 1)</f>
        <v>1.5621543310191812E-4</v>
      </c>
      <c r="Z13" s="7">
        <f>$B13 * IFERROR(VLOOKUP("buildings|NOx|Non-fatal heart attacks", US_national_yearly!$D:$AM, 34, FALSE) / VLOOKUP("buildings|NOx|Non-fatal heart attacks", US_national_yearly!$D:$AM, 10, FALSE), 1)</f>
        <v>1.5665440153170358E-4</v>
      </c>
      <c r="AA13" s="7">
        <f>$B13 * IFERROR(VLOOKUP("buildings|NOx|Non-fatal heart attacks", US_national_yearly!$D:$AM, 35, FALSE) / VLOOKUP("buildings|NOx|Non-fatal heart attacks", US_national_yearly!$D:$AM, 10, FALSE), 1)</f>
        <v>1.5709336996148904E-4</v>
      </c>
      <c r="AB13" s="7">
        <f>$B13 * IFERROR(VLOOKUP("buildings|NOx|Non-fatal heart attacks", US_national_yearly!$D:$AM, 36, FALSE) / VLOOKUP("buildings|NOx|Non-fatal heart attacks", US_national_yearly!$D:$AM, 10, FALSE), 1)</f>
        <v>1.575323383912745E-4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7.7221024193563109E-2</v>
      </c>
      <c r="C14" s="7">
        <f>$B14 * IFERROR(VLOOKUP("buildings|NOx|Minor restricted activity days", US_national_yearly!$D:$AM, 11, FALSE) / VLOOKUP("buildings|NOx|Minor restricted activity days", US_national_yearly!$D:$AM, 10, FALSE), 1)</f>
        <v>7.7340852960886941E-2</v>
      </c>
      <c r="D14" s="7">
        <f>$B14 * IFERROR(VLOOKUP("buildings|NOx|Minor restricted activity days", US_national_yearly!$D:$AM, 12, FALSE) / VLOOKUP("buildings|NOx|Minor restricted activity days", US_national_yearly!$D:$AM, 10, FALSE), 1)</f>
        <v>7.7460681728210759E-2</v>
      </c>
      <c r="E14" s="7">
        <f>$B14 * IFERROR(VLOOKUP("buildings|NOx|Minor restricted activity days", US_national_yearly!$D:$AM, 13, FALSE) / VLOOKUP("buildings|NOx|Minor restricted activity days", US_national_yearly!$D:$AM, 10, FALSE), 1)</f>
        <v>7.7580510495534591E-2</v>
      </c>
      <c r="F14" s="7">
        <f>$B14 * IFERROR(VLOOKUP("buildings|NOx|Minor restricted activity days", US_national_yearly!$D:$AM, 14, FALSE) / VLOOKUP("buildings|NOx|Minor restricted activity days", US_national_yearly!$D:$AM, 10, FALSE), 1)</f>
        <v>7.7700339262858423E-2</v>
      </c>
      <c r="G14" s="7">
        <f>$B14 * IFERROR(VLOOKUP("buildings|NOx|Minor restricted activity days", US_national_yearly!$D:$AM, 15, FALSE) / VLOOKUP("buildings|NOx|Minor restricted activity days", US_national_yearly!$D:$AM, 10, FALSE), 1)</f>
        <v>7.7915611851296668E-2</v>
      </c>
      <c r="H14" s="7">
        <f>$B14 * IFERROR(VLOOKUP("buildings|NOx|Minor restricted activity days", US_national_yearly!$D:$AM, 16, FALSE) / VLOOKUP("buildings|NOx|Minor restricted activity days", US_national_yearly!$D:$AM, 10, FALSE), 1)</f>
        <v>7.8130884439734899E-2</v>
      </c>
      <c r="I14" s="7">
        <f>$B14 * IFERROR(VLOOKUP("buildings|NOx|Minor restricted activity days", US_national_yearly!$D:$AM, 17, FALSE) / VLOOKUP("buildings|NOx|Minor restricted activity days", US_national_yearly!$D:$AM, 10, FALSE), 1)</f>
        <v>7.8550604569609966E-2</v>
      </c>
      <c r="J14" s="7">
        <f>$B14 * IFERROR(VLOOKUP("buildings|NOx|Minor restricted activity days", US_national_yearly!$D:$AM, 18, FALSE) / VLOOKUP("buildings|NOx|Minor restricted activity days", US_national_yearly!$D:$AM, 10, FALSE), 1)</f>
        <v>7.897032469948502E-2</v>
      </c>
      <c r="K14" s="7">
        <f>$B14 * IFERROR(VLOOKUP("buildings|NOx|Minor restricted activity days", US_national_yearly!$D:$AM, 19, FALSE) / VLOOKUP("buildings|NOx|Minor restricted activity days", US_national_yearly!$D:$AM, 10, FALSE), 1)</f>
        <v>7.9390044829360074E-2</v>
      </c>
      <c r="L14" s="7">
        <f>$B14 * IFERROR(VLOOKUP("buildings|NOx|Minor restricted activity days", US_national_yearly!$D:$AM, 20, FALSE) / VLOOKUP("buildings|NOx|Minor restricted activity days", US_national_yearly!$D:$AM, 10, FALSE), 1)</f>
        <v>7.9809764959235141E-2</v>
      </c>
      <c r="M14" s="7">
        <f>$B14 * IFERROR(VLOOKUP("buildings|NOx|Minor restricted activity days", US_national_yearly!$D:$AM, 21, FALSE) / VLOOKUP("buildings|NOx|Minor restricted activity days", US_national_yearly!$D:$AM, 10, FALSE), 1)</f>
        <v>8.0229485089110195E-2</v>
      </c>
      <c r="N14" s="7">
        <f>$B14 * IFERROR(VLOOKUP("buildings|NOx|Minor restricted activity days", US_national_yearly!$D:$AM, 22, FALSE) / VLOOKUP("buildings|NOx|Minor restricted activity days", US_national_yearly!$D:$AM, 10, FALSE), 1)</f>
        <v>8.0829940184313429E-2</v>
      </c>
      <c r="O14" s="7">
        <f>$B14 * IFERROR(VLOOKUP("buildings|NOx|Minor restricted activity days", US_national_yearly!$D:$AM, 23, FALSE) / VLOOKUP("buildings|NOx|Minor restricted activity days", US_national_yearly!$D:$AM, 10, FALSE), 1)</f>
        <v>8.1430395279516635E-2</v>
      </c>
      <c r="P14" s="7">
        <f>$B14 * IFERROR(VLOOKUP("buildings|NOx|Minor restricted activity days", US_national_yearly!$D:$AM, 24, FALSE) / VLOOKUP("buildings|NOx|Minor restricted activity days", US_national_yearly!$D:$AM, 10, FALSE), 1)</f>
        <v>8.2030850374719869E-2</v>
      </c>
      <c r="Q14" s="7">
        <f>$B14 * IFERROR(VLOOKUP("buildings|NOx|Minor restricted activity days", US_national_yearly!$D:$AM, 25, FALSE) / VLOOKUP("buildings|NOx|Minor restricted activity days", US_national_yearly!$D:$AM, 10, FALSE), 1)</f>
        <v>8.2631305469923089E-2</v>
      </c>
      <c r="R14" s="7">
        <f>$B14 * IFERROR(VLOOKUP("buildings|NOx|Minor restricted activity days", US_national_yearly!$D:$AM, 26, FALSE) / VLOOKUP("buildings|NOx|Minor restricted activity days", US_national_yearly!$D:$AM, 10, FALSE), 1)</f>
        <v>8.3231760565126295E-2</v>
      </c>
      <c r="S14" s="7">
        <f>$B14 * IFERROR(VLOOKUP("buildings|NOx|Minor restricted activity days", US_national_yearly!$D:$AM, 27, FALSE) / VLOOKUP("buildings|NOx|Minor restricted activity days", US_national_yearly!$D:$AM, 10, FALSE), 1)</f>
        <v>8.3832042805610768E-2</v>
      </c>
      <c r="T14" s="7">
        <f>$B14 * IFERROR(VLOOKUP("buildings|NOx|Minor restricted activity days", US_national_yearly!$D:$AM, 28, FALSE) / VLOOKUP("buildings|NOx|Minor restricted activity days", US_national_yearly!$D:$AM, 10, FALSE), 1)</f>
        <v>8.4432325046095227E-2</v>
      </c>
      <c r="U14" s="7">
        <f>$B14 * IFERROR(VLOOKUP("buildings|NOx|Minor restricted activity days", US_national_yearly!$D:$AM, 29, FALSE) / VLOOKUP("buildings|NOx|Minor restricted activity days", US_national_yearly!$D:$AM, 10, FALSE), 1)</f>
        <v>8.5032607286579714E-2</v>
      </c>
      <c r="V14" s="7">
        <f>$B14 * IFERROR(VLOOKUP("buildings|NOx|Minor restricted activity days", US_national_yearly!$D:$AM, 30, FALSE) / VLOOKUP("buildings|NOx|Minor restricted activity days", US_national_yearly!$D:$AM, 10, FALSE), 1)</f>
        <v>8.5632889527064174E-2</v>
      </c>
      <c r="W14" s="7">
        <f>$B14 * IFERROR(VLOOKUP("buildings|NOx|Minor restricted activity days", US_national_yearly!$D:$AM, 31, FALSE) / VLOOKUP("buildings|NOx|Minor restricted activity days", US_national_yearly!$D:$AM, 10, FALSE), 1)</f>
        <v>8.6233171767548633E-2</v>
      </c>
      <c r="X14" s="7">
        <f>$B14 * IFERROR(VLOOKUP("buildings|NOx|Minor restricted activity days", US_national_yearly!$D:$AM, 32, FALSE) / VLOOKUP("buildings|NOx|Minor restricted activity days", US_national_yearly!$D:$AM, 10, FALSE), 1)</f>
        <v>8.6740855116050508E-2</v>
      </c>
      <c r="Y14" s="7">
        <f>$B14 * IFERROR(VLOOKUP("buildings|NOx|Minor restricted activity days", US_national_yearly!$D:$AM, 33, FALSE) / VLOOKUP("buildings|NOx|Minor restricted activity days", US_national_yearly!$D:$AM, 10, FALSE), 1)</f>
        <v>8.7248538464552397E-2</v>
      </c>
      <c r="Z14" s="7">
        <f>$B14 * IFERROR(VLOOKUP("buildings|NOx|Minor restricted activity days", US_national_yearly!$D:$AM, 34, FALSE) / VLOOKUP("buildings|NOx|Minor restricted activity days", US_national_yearly!$D:$AM, 10, FALSE), 1)</f>
        <v>8.7756221813054244E-2</v>
      </c>
      <c r="AA14" s="7">
        <f>$B14 * IFERROR(VLOOKUP("buildings|NOx|Minor restricted activity days", US_national_yearly!$D:$AM, 35, FALSE) / VLOOKUP("buildings|NOx|Minor restricted activity days", US_national_yearly!$D:$AM, 10, FALSE), 1)</f>
        <v>8.8263905161556133E-2</v>
      </c>
      <c r="AB14" s="7">
        <f>$B14 * IFERROR(VLOOKUP("buildings|NOx|Minor restricted activity days", US_national_yearly!$D:$AM, 36, FALSE) / VLOOKUP("buildings|NOx|Minor restricted activity days", US_national_yearly!$D:$AM, 10, FALSE), 1)</f>
        <v>8.8771588510058008E-2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1.3038180797653896E-2</v>
      </c>
      <c r="C15" s="7">
        <f>$B15 * IFERROR(VLOOKUP("buildings|NOx|Work loss days", US_national_yearly!$D:$AM, 11, FALSE) / VLOOKUP("buildings|NOx|Work loss days", US_national_yearly!$D:$AM, 10, FALSE), 1)</f>
        <v>1.3067408944685258E-2</v>
      </c>
      <c r="D15" s="7">
        <f>$B15 * IFERROR(VLOOKUP("buildings|NOx|Work loss days", US_national_yearly!$D:$AM, 12, FALSE) / VLOOKUP("buildings|NOx|Work loss days", US_national_yearly!$D:$AM, 10, FALSE), 1)</f>
        <v>1.3096637091716618E-2</v>
      </c>
      <c r="E15" s="7">
        <f>$B15 * IFERROR(VLOOKUP("buildings|NOx|Work loss days", US_national_yearly!$D:$AM, 13, FALSE) / VLOOKUP("buildings|NOx|Work loss days", US_national_yearly!$D:$AM, 10, FALSE), 1)</f>
        <v>1.3125865238747978E-2</v>
      </c>
      <c r="F15" s="7">
        <f>$B15 * IFERROR(VLOOKUP("buildings|NOx|Work loss days", US_national_yearly!$D:$AM, 14, FALSE) / VLOOKUP("buildings|NOx|Work loss days", US_national_yearly!$D:$AM, 10, FALSE), 1)</f>
        <v>1.315509338577934E-2</v>
      </c>
      <c r="G15" s="7">
        <f>$B15 * IFERROR(VLOOKUP("buildings|NOx|Work loss days", US_national_yearly!$D:$AM, 15, FALSE) / VLOOKUP("buildings|NOx|Work loss days", US_national_yearly!$D:$AM, 10, FALSE), 1)</f>
        <v>1.3197667458846792E-2</v>
      </c>
      <c r="H15" s="7">
        <f>$B15 * IFERROR(VLOOKUP("buildings|NOx|Work loss days", US_national_yearly!$D:$AM, 16, FALSE) / VLOOKUP("buildings|NOx|Work loss days", US_national_yearly!$D:$AM, 10, FALSE), 1)</f>
        <v>1.3240241531914245E-2</v>
      </c>
      <c r="I15" s="7">
        <f>$B15 * IFERROR(VLOOKUP("buildings|NOx|Work loss days", US_national_yearly!$D:$AM, 17, FALSE) / VLOOKUP("buildings|NOx|Work loss days", US_national_yearly!$D:$AM, 10, FALSE), 1)</f>
        <v>1.330909664065596E-2</v>
      </c>
      <c r="J15" s="7">
        <f>$B15 * IFERROR(VLOOKUP("buildings|NOx|Work loss days", US_national_yearly!$D:$AM, 18, FALSE) / VLOOKUP("buildings|NOx|Work loss days", US_national_yearly!$D:$AM, 10, FALSE), 1)</f>
        <v>1.3377951749397673E-2</v>
      </c>
      <c r="K15" s="7">
        <f>$B15 * IFERROR(VLOOKUP("buildings|NOx|Work loss days", US_national_yearly!$D:$AM, 19, FALSE) / VLOOKUP("buildings|NOx|Work loss days", US_national_yearly!$D:$AM, 10, FALSE), 1)</f>
        <v>1.344680685813939E-2</v>
      </c>
      <c r="L15" s="7">
        <f>$B15 * IFERROR(VLOOKUP("buildings|NOx|Work loss days", US_national_yearly!$D:$AM, 20, FALSE) / VLOOKUP("buildings|NOx|Work loss days", US_national_yearly!$D:$AM, 10, FALSE), 1)</f>
        <v>1.3515661966881106E-2</v>
      </c>
      <c r="M15" s="7">
        <f>$B15 * IFERROR(VLOOKUP("buildings|NOx|Work loss days", US_national_yearly!$D:$AM, 21, FALSE) / VLOOKUP("buildings|NOx|Work loss days", US_national_yearly!$D:$AM, 10, FALSE), 1)</f>
        <v>1.358451707562282E-2</v>
      </c>
      <c r="N15" s="7">
        <f>$B15 * IFERROR(VLOOKUP("buildings|NOx|Work loss days", US_national_yearly!$D:$AM, 22, FALSE) / VLOOKUP("buildings|NOx|Work loss days", US_national_yearly!$D:$AM, 10, FALSE), 1)</f>
        <v>1.3674097685671179E-2</v>
      </c>
      <c r="O15" s="7">
        <f>$B15 * IFERROR(VLOOKUP("buildings|NOx|Work loss days", US_national_yearly!$D:$AM, 23, FALSE) / VLOOKUP("buildings|NOx|Work loss days", US_national_yearly!$D:$AM, 10, FALSE), 1)</f>
        <v>1.3763678295719541E-2</v>
      </c>
      <c r="P15" s="7">
        <f>$B15 * IFERROR(VLOOKUP("buildings|NOx|Work loss days", US_national_yearly!$D:$AM, 24, FALSE) / VLOOKUP("buildings|NOx|Work loss days", US_national_yearly!$D:$AM, 10, FALSE), 1)</f>
        <v>1.3853258905767902E-2</v>
      </c>
      <c r="Q15" s="7">
        <f>$B15 * IFERROR(VLOOKUP("buildings|NOx|Work loss days", US_national_yearly!$D:$AM, 25, FALSE) / VLOOKUP("buildings|NOx|Work loss days", US_national_yearly!$D:$AM, 10, FALSE), 1)</f>
        <v>1.3942839515816265E-2</v>
      </c>
      <c r="R15" s="7">
        <f>$B15 * IFERROR(VLOOKUP("buildings|NOx|Work loss days", US_national_yearly!$D:$AM, 26, FALSE) / VLOOKUP("buildings|NOx|Work loss days", US_national_yearly!$D:$AM, 10, FALSE), 1)</f>
        <v>1.4032420125864626E-2</v>
      </c>
      <c r="S15" s="7">
        <f>$B15 * IFERROR(VLOOKUP("buildings|NOx|Work loss days", US_national_yearly!$D:$AM, 27, FALSE) / VLOOKUP("buildings|NOx|Work loss days", US_national_yearly!$D:$AM, 10, FALSE), 1)</f>
        <v>1.4132242016880339E-2</v>
      </c>
      <c r="T15" s="7">
        <f>$B15 * IFERROR(VLOOKUP("buildings|NOx|Work loss days", US_national_yearly!$D:$AM, 28, FALSE) / VLOOKUP("buildings|NOx|Work loss days", US_national_yearly!$D:$AM, 10, FALSE), 1)</f>
        <v>1.4232063907896055E-2</v>
      </c>
      <c r="U15" s="7">
        <f>$B15 * IFERROR(VLOOKUP("buildings|NOx|Work loss days", US_national_yearly!$D:$AM, 29, FALSE) / VLOOKUP("buildings|NOx|Work loss days", US_national_yearly!$D:$AM, 10, FALSE), 1)</f>
        <v>1.4331885798911767E-2</v>
      </c>
      <c r="V15" s="7">
        <f>$B15 * IFERROR(VLOOKUP("buildings|NOx|Work loss days", US_national_yearly!$D:$AM, 30, FALSE) / VLOOKUP("buildings|NOx|Work loss days", US_national_yearly!$D:$AM, 10, FALSE), 1)</f>
        <v>1.443170768992748E-2</v>
      </c>
      <c r="W15" s="7">
        <f>$B15 * IFERROR(VLOOKUP("buildings|NOx|Work loss days", US_national_yearly!$D:$AM, 31, FALSE) / VLOOKUP("buildings|NOx|Work loss days", US_national_yearly!$D:$AM, 10, FALSE), 1)</f>
        <v>1.4531529580943192E-2</v>
      </c>
      <c r="X15" s="7">
        <f>$B15 * IFERROR(VLOOKUP("buildings|NOx|Work loss days", US_national_yearly!$D:$AM, 32, FALSE) / VLOOKUP("buildings|NOx|Work loss days", US_national_yearly!$D:$AM, 10, FALSE), 1)</f>
        <v>1.461819583885402E-2</v>
      </c>
      <c r="Y15" s="7">
        <f>$B15 * IFERROR(VLOOKUP("buildings|NOx|Work loss days", US_national_yearly!$D:$AM, 33, FALSE) / VLOOKUP("buildings|NOx|Work loss days", US_national_yearly!$D:$AM, 10, FALSE), 1)</f>
        <v>1.4704862096764847E-2</v>
      </c>
      <c r="Z15" s="7">
        <f>$B15 * IFERROR(VLOOKUP("buildings|NOx|Work loss days", US_national_yearly!$D:$AM, 34, FALSE) / VLOOKUP("buildings|NOx|Work loss days", US_national_yearly!$D:$AM, 10, FALSE), 1)</f>
        <v>1.4791528354675674E-2</v>
      </c>
      <c r="AA15" s="7">
        <f>$B15 * IFERROR(VLOOKUP("buildings|NOx|Work loss days", US_national_yearly!$D:$AM, 35, FALSE) / VLOOKUP("buildings|NOx|Work loss days", US_national_yearly!$D:$AM, 10, FALSE), 1)</f>
        <v>1.4878194612586501E-2</v>
      </c>
      <c r="AB15" s="7">
        <f>$B15 * IFERROR(VLOOKUP("buildings|NOx|Work loss days", US_national_yearly!$D:$AM, 36, FALSE) / VLOOKUP("buildings|NOx|Work loss days", US_national_yearly!$D:$AM, 10, FALSE), 1)</f>
        <v>1.4964860870497329E-2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3.1683813889302058E-5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3.2615320833046089E-5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3.354682777679012E-5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3.4478334720534151E-5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3.5409841664278182E-5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3.629475631895978E-5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3.7179670973641378E-5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3.7924239287773554E-5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3.8668807601905723E-5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3.9413375916037892E-5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4.0157944230170054E-5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4.0902512544302216E-5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4.1368265458687246E-5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4.1834018373072255E-5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4.2299771287457278E-5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4.2765524201842295E-5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4.3231277116227304E-5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4.3444092874857151E-5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4.3656908633486984E-5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4.386972439211683E-5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4.4082540150746663E-5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4.429535590937651E-5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4.4413977264471925E-5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4.4532598619567341E-5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4.4651219974662756E-5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4.4769841329758178E-5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4.4888462684853587E-5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1.0545066950564889E-3</v>
      </c>
      <c r="C2" s="7">
        <f>$B2 * IFERROR(VLOOKUP("buildings|SO2|Premature mortality", US_national_yearly!$D:$AM, 11, FALSE) / VLOOKUP("buildings|SO2|Premature mortality", US_national_yearly!$D:$AM, 10, FALSE), 1)</f>
        <v>1.0678656201517651E-3</v>
      </c>
      <c r="D2" s="7">
        <f>$B2 * IFERROR(VLOOKUP("buildings|SO2|Premature mortality", US_national_yearly!$D:$AM, 12, FALSE) / VLOOKUP("buildings|SO2|Premature mortality", US_national_yearly!$D:$AM, 10, FALSE), 1)</f>
        <v>1.0812245452470413E-3</v>
      </c>
      <c r="E2" s="7">
        <f>$B2 * IFERROR(VLOOKUP("buildings|SO2|Premature mortality", US_national_yearly!$D:$AM, 13, FALSE) / VLOOKUP("buildings|SO2|Premature mortality", US_national_yearly!$D:$AM, 10, FALSE), 1)</f>
        <v>1.0945834703423175E-3</v>
      </c>
      <c r="F2" s="7">
        <f>$B2 * IFERROR(VLOOKUP("buildings|SO2|Premature mortality", US_national_yearly!$D:$AM, 14, FALSE) / VLOOKUP("buildings|SO2|Premature mortality", US_national_yearly!$D:$AM, 10, FALSE), 1)</f>
        <v>1.1079423954375939E-3</v>
      </c>
      <c r="G2" s="7">
        <f>$B2 * IFERROR(VLOOKUP("buildings|SO2|Premature mortality", US_national_yearly!$D:$AM, 15, FALSE) / VLOOKUP("buildings|SO2|Premature mortality", US_national_yearly!$D:$AM, 10, FALSE), 1)</f>
        <v>1.1336823334747511E-3</v>
      </c>
      <c r="H2" s="7">
        <f>$B2 * IFERROR(VLOOKUP("buildings|SO2|Premature mortality", US_national_yearly!$D:$AM, 16, FALSE) / VLOOKUP("buildings|SO2|Premature mortality", US_national_yearly!$D:$AM, 10, FALSE), 1)</f>
        <v>1.1594222715119087E-3</v>
      </c>
      <c r="I2" s="7">
        <f>$B2 * IFERROR(VLOOKUP("buildings|SO2|Premature mortality", US_national_yearly!$D:$AM, 17, FALSE) / VLOOKUP("buildings|SO2|Premature mortality", US_national_yearly!$D:$AM, 10, FALSE), 1)</f>
        <v>1.1764413706961724E-3</v>
      </c>
      <c r="J2" s="7">
        <f>$B2 * IFERROR(VLOOKUP("buildings|SO2|Premature mortality", US_national_yearly!$D:$AM, 18, FALSE) / VLOOKUP("buildings|SO2|Premature mortality", US_national_yearly!$D:$AM, 10, FALSE), 1)</f>
        <v>1.1934604698804361E-3</v>
      </c>
      <c r="K2" s="7">
        <f>$B2 * IFERROR(VLOOKUP("buildings|SO2|Premature mortality", US_national_yearly!$D:$AM, 19, FALSE) / VLOOKUP("buildings|SO2|Premature mortality", US_national_yearly!$D:$AM, 10, FALSE), 1)</f>
        <v>1.2104795690646999E-3</v>
      </c>
      <c r="L2" s="7">
        <f>$B2 * IFERROR(VLOOKUP("buildings|SO2|Premature mortality", US_national_yearly!$D:$AM, 20, FALSE) / VLOOKUP("buildings|SO2|Premature mortality", US_national_yearly!$D:$AM, 10, FALSE), 1)</f>
        <v>1.2274986682489636E-3</v>
      </c>
      <c r="M2" s="7">
        <f>$B2 * IFERROR(VLOOKUP("buildings|SO2|Premature mortality", US_national_yearly!$D:$AM, 21, FALSE) / VLOOKUP("buildings|SO2|Premature mortality", US_national_yearly!$D:$AM, 10, FALSE), 1)</f>
        <v>1.2445177674332273E-3</v>
      </c>
      <c r="N2" s="7">
        <f>$B2 * IFERROR(VLOOKUP("buildings|SO2|Premature mortality", US_national_yearly!$D:$AM, 22, FALSE) / VLOOKUP("buildings|SO2|Premature mortality", US_national_yearly!$D:$AM, 10, FALSE), 1)</f>
        <v>1.2578124899078078E-3</v>
      </c>
      <c r="O2" s="7">
        <f>$B2 * IFERROR(VLOOKUP("buildings|SO2|Premature mortality", US_national_yearly!$D:$AM, 23, FALSE) / VLOOKUP("buildings|SO2|Premature mortality", US_national_yearly!$D:$AM, 10, FALSE), 1)</f>
        <v>1.2711072123823873E-3</v>
      </c>
      <c r="P2" s="7">
        <f>$B2 * IFERROR(VLOOKUP("buildings|SO2|Premature mortality", US_national_yearly!$D:$AM, 24, FALSE) / VLOOKUP("buildings|SO2|Premature mortality", US_national_yearly!$D:$AM, 10, FALSE), 1)</f>
        <v>1.2844019348569673E-3</v>
      </c>
      <c r="Q2" s="7">
        <f>$B2 * IFERROR(VLOOKUP("buildings|SO2|Premature mortality", US_national_yearly!$D:$AM, 25, FALSE) / VLOOKUP("buildings|SO2|Premature mortality", US_national_yearly!$D:$AM, 10, FALSE), 1)</f>
        <v>1.2976966573315471E-3</v>
      </c>
      <c r="R2" s="7">
        <f>$B2 * IFERROR(VLOOKUP("buildings|SO2|Premature mortality", US_national_yearly!$D:$AM, 26, FALSE) / VLOOKUP("buildings|SO2|Premature mortality", US_national_yearly!$D:$AM, 10, FALSE), 1)</f>
        <v>1.3109913798061274E-3</v>
      </c>
      <c r="S2" s="7">
        <f>$B2 * IFERROR(VLOOKUP("buildings|SO2|Premature mortality", US_national_yearly!$D:$AM, 27, FALSE) / VLOOKUP("buildings|SO2|Premature mortality", US_national_yearly!$D:$AM, 10, FALSE), 1)</f>
        <v>1.3181068670303376E-3</v>
      </c>
      <c r="T2" s="7">
        <f>$B2 * IFERROR(VLOOKUP("buildings|SO2|Premature mortality", US_national_yearly!$D:$AM, 28, FALSE) / VLOOKUP("buildings|SO2|Premature mortality", US_national_yearly!$D:$AM, 10, FALSE), 1)</f>
        <v>1.325222354254548E-3</v>
      </c>
      <c r="U2" s="7">
        <f>$B2 * IFERROR(VLOOKUP("buildings|SO2|Premature mortality", US_national_yearly!$D:$AM, 29, FALSE) / VLOOKUP("buildings|SO2|Premature mortality", US_national_yearly!$D:$AM, 10, FALSE), 1)</f>
        <v>1.3323378414787583E-3</v>
      </c>
      <c r="V2" s="7">
        <f>$B2 * IFERROR(VLOOKUP("buildings|SO2|Premature mortality", US_national_yearly!$D:$AM, 30, FALSE) / VLOOKUP("buildings|SO2|Premature mortality", US_national_yearly!$D:$AM, 10, FALSE), 1)</f>
        <v>1.3394533287029689E-3</v>
      </c>
      <c r="W2" s="7">
        <f>$B2 * IFERROR(VLOOKUP("buildings|SO2|Premature mortality", US_national_yearly!$D:$AM, 31, FALSE) / VLOOKUP("buildings|SO2|Premature mortality", US_national_yearly!$D:$AM, 10, FALSE), 1)</f>
        <v>1.3465688159271791E-3</v>
      </c>
      <c r="X2" s="7">
        <f>$B2 * IFERROR(VLOOKUP("buildings|SO2|Premature mortality", US_national_yearly!$D:$AM, 32, FALSE) / VLOOKUP("buildings|SO2|Premature mortality", US_national_yearly!$D:$AM, 10, FALSE), 1)</f>
        <v>1.3480066065404944E-3</v>
      </c>
      <c r="Y2" s="7">
        <f>$B2 * IFERROR(VLOOKUP("buildings|SO2|Premature mortality", US_national_yearly!$D:$AM, 33, FALSE) / VLOOKUP("buildings|SO2|Premature mortality", US_national_yearly!$D:$AM, 10, FALSE), 1)</f>
        <v>1.3494443971538096E-3</v>
      </c>
      <c r="Z2" s="7">
        <f>$B2 * IFERROR(VLOOKUP("buildings|SO2|Premature mortality", US_national_yearly!$D:$AM, 34, FALSE) / VLOOKUP("buildings|SO2|Premature mortality", US_national_yearly!$D:$AM, 10, FALSE), 1)</f>
        <v>1.3508821877671248E-3</v>
      </c>
      <c r="AA2" s="7">
        <f>$B2 * IFERROR(VLOOKUP("buildings|SO2|Premature mortality", US_national_yearly!$D:$AM, 35, FALSE) / VLOOKUP("buildings|SO2|Premature mortality", US_national_yearly!$D:$AM, 10, FALSE), 1)</f>
        <v>1.3523199783804401E-3</v>
      </c>
      <c r="AB2" s="7">
        <f>$B2 * IFERROR(VLOOKUP("buildings|SO2|Premature mortality", US_national_yearly!$D:$AM, 36, FALSE) / VLOOKUP("buildings|SO2|Premature mortality", US_national_yearly!$D:$AM, 10, FALSE), 1)</f>
        <v>1.3537577689937555E-3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2.9928959444583226E-6</v>
      </c>
      <c r="C3" s="7">
        <f>$B3 * IFERROR(VLOOKUP("buildings|SO2|Infant mortality", US_national_yearly!$D:$AM, 11, FALSE) / VLOOKUP("buildings|SO2|Infant mortality", US_national_yearly!$D:$AM, 10, FALSE), 1)</f>
        <v>2.9672426146002875E-6</v>
      </c>
      <c r="D3" s="7">
        <f>$B3 * IFERROR(VLOOKUP("buildings|SO2|Infant mortality", US_national_yearly!$D:$AM, 12, FALSE) / VLOOKUP("buildings|SO2|Infant mortality", US_national_yearly!$D:$AM, 10, FALSE), 1)</f>
        <v>2.9415892847422529E-6</v>
      </c>
      <c r="E3" s="7">
        <f>$B3 * IFERROR(VLOOKUP("buildings|SO2|Infant mortality", US_national_yearly!$D:$AM, 13, FALSE) / VLOOKUP("buildings|SO2|Infant mortality", US_national_yearly!$D:$AM, 10, FALSE), 1)</f>
        <v>2.9159359548842182E-6</v>
      </c>
      <c r="F3" s="7">
        <f>$B3 * IFERROR(VLOOKUP("buildings|SO2|Infant mortality", US_national_yearly!$D:$AM, 14, FALSE) / VLOOKUP("buildings|SO2|Infant mortality", US_national_yearly!$D:$AM, 10, FALSE), 1)</f>
        <v>2.890282625026184E-6</v>
      </c>
      <c r="G3" s="7">
        <f>$B3 * IFERROR(VLOOKUP("buildings|SO2|Infant mortality", US_national_yearly!$D:$AM, 15, FALSE) / VLOOKUP("buildings|SO2|Infant mortality", US_national_yearly!$D:$AM, 10, FALSE), 1)</f>
        <v>1.9248137246823693E-6</v>
      </c>
      <c r="H3" s="7">
        <f>$B3 * IFERROR(VLOOKUP("buildings|SO2|Infant mortality", US_national_yearly!$D:$AM, 16, FALSE) / VLOOKUP("buildings|SO2|Infant mortality", US_national_yearly!$D:$AM, 10, FALSE), 1)</f>
        <v>9.5934482433855509E-7</v>
      </c>
      <c r="I3" s="7">
        <f>$B3 * IFERROR(VLOOKUP("buildings|SO2|Infant mortality", US_national_yearly!$D:$AM, 17, FALSE) / VLOOKUP("buildings|SO2|Infant mortality", US_national_yearly!$D:$AM, 10, FALSE), 1)</f>
        <v>9.5332578897023992E-7</v>
      </c>
      <c r="J3" s="7">
        <f>$B3 * IFERROR(VLOOKUP("buildings|SO2|Infant mortality", US_national_yearly!$D:$AM, 18, FALSE) / VLOOKUP("buildings|SO2|Infant mortality", US_national_yearly!$D:$AM, 10, FALSE), 1)</f>
        <v>9.4730675360192454E-7</v>
      </c>
      <c r="K3" s="7">
        <f>$B3 * IFERROR(VLOOKUP("buildings|SO2|Infant mortality", US_national_yearly!$D:$AM, 19, FALSE) / VLOOKUP("buildings|SO2|Infant mortality", US_national_yearly!$D:$AM, 10, FALSE), 1)</f>
        <v>9.4128771823360937E-7</v>
      </c>
      <c r="L3" s="7">
        <f>$B3 * IFERROR(VLOOKUP("buildings|SO2|Infant mortality", US_national_yearly!$D:$AM, 20, FALSE) / VLOOKUP("buildings|SO2|Infant mortality", US_national_yearly!$D:$AM, 10, FALSE), 1)</f>
        <v>9.352686828652941E-7</v>
      </c>
      <c r="M3" s="7">
        <f>$B3 * IFERROR(VLOOKUP("buildings|SO2|Infant mortality", US_national_yearly!$D:$AM, 21, FALSE) / VLOOKUP("buildings|SO2|Infant mortality", US_national_yearly!$D:$AM, 10, FALSE), 1)</f>
        <v>9.2924964749697893E-7</v>
      </c>
      <c r="N3" s="7">
        <f>$B3 * IFERROR(VLOOKUP("buildings|SO2|Infant mortality", US_national_yearly!$D:$AM, 22, FALSE) / VLOOKUP("buildings|SO2|Infant mortality", US_national_yearly!$D:$AM, 10, FALSE), 1)</f>
        <v>9.2547635173535372E-7</v>
      </c>
      <c r="O3" s="7">
        <f>$B3 * IFERROR(VLOOKUP("buildings|SO2|Infant mortality", US_national_yearly!$D:$AM, 23, FALSE) / VLOOKUP("buildings|SO2|Infant mortality", US_national_yearly!$D:$AM, 10, FALSE), 1)</f>
        <v>9.217030559737285E-7</v>
      </c>
      <c r="P3" s="7">
        <f>$B3 * IFERROR(VLOOKUP("buildings|SO2|Infant mortality", US_national_yearly!$D:$AM, 24, FALSE) / VLOOKUP("buildings|SO2|Infant mortality", US_national_yearly!$D:$AM, 10, FALSE), 1)</f>
        <v>9.1792976021210329E-7</v>
      </c>
      <c r="Q3" s="7">
        <f>$B3 * IFERROR(VLOOKUP("buildings|SO2|Infant mortality", US_national_yearly!$D:$AM, 25, FALSE) / VLOOKUP("buildings|SO2|Infant mortality", US_national_yearly!$D:$AM, 10, FALSE), 1)</f>
        <v>9.1415646445047807E-7</v>
      </c>
      <c r="R3" s="7">
        <f>$B3 * IFERROR(VLOOKUP("buildings|SO2|Infant mortality", US_national_yearly!$D:$AM, 26, FALSE) / VLOOKUP("buildings|SO2|Infant mortality", US_national_yearly!$D:$AM, 10, FALSE), 1)</f>
        <v>9.1038316868885286E-7</v>
      </c>
      <c r="S3" s="7">
        <f>$B3 * IFERROR(VLOOKUP("buildings|SO2|Infant mortality", US_national_yearly!$D:$AM, 27, FALSE) / VLOOKUP("buildings|SO2|Infant mortality", US_national_yearly!$D:$AM, 10, FALSE), 1)</f>
        <v>9.0564510546397192E-7</v>
      </c>
      <c r="T3" s="7">
        <f>$B3 * IFERROR(VLOOKUP("buildings|SO2|Infant mortality", US_national_yearly!$D:$AM, 28, FALSE) / VLOOKUP("buildings|SO2|Infant mortality", US_national_yearly!$D:$AM, 10, FALSE), 1)</f>
        <v>9.0090704223909099E-7</v>
      </c>
      <c r="U3" s="7">
        <f>$B3 * IFERROR(VLOOKUP("buildings|SO2|Infant mortality", US_national_yearly!$D:$AM, 29, FALSE) / VLOOKUP("buildings|SO2|Infant mortality", US_national_yearly!$D:$AM, 10, FALSE), 1)</f>
        <v>8.9616897901420994E-7</v>
      </c>
      <c r="V3" s="7">
        <f>$B3 * IFERROR(VLOOKUP("buildings|SO2|Infant mortality", US_national_yearly!$D:$AM, 30, FALSE) / VLOOKUP("buildings|SO2|Infant mortality", US_national_yearly!$D:$AM, 10, FALSE), 1)</f>
        <v>8.9143091578932901E-7</v>
      </c>
      <c r="W3" s="7">
        <f>$B3 * IFERROR(VLOOKUP("buildings|SO2|Infant mortality", US_national_yearly!$D:$AM, 31, FALSE) / VLOOKUP("buildings|SO2|Infant mortality", US_national_yearly!$D:$AM, 10, FALSE), 1)</f>
        <v>8.8669285256444807E-7</v>
      </c>
      <c r="X3" s="7">
        <f>$B3 * IFERROR(VLOOKUP("buildings|SO2|Infant mortality", US_national_yearly!$D:$AM, 32, FALSE) / VLOOKUP("buildings|SO2|Infant mortality", US_national_yearly!$D:$AM, 10, FALSE), 1)</f>
        <v>8.8151813676928092E-7</v>
      </c>
      <c r="Y3" s="7">
        <f>$B3 * IFERROR(VLOOKUP("buildings|SO2|Infant mortality", US_national_yearly!$D:$AM, 33, FALSE) / VLOOKUP("buildings|SO2|Infant mortality", US_national_yearly!$D:$AM, 10, FALSE), 1)</f>
        <v>8.7634342097411387E-7</v>
      </c>
      <c r="Z3" s="7">
        <f>$B3 * IFERROR(VLOOKUP("buildings|SO2|Infant mortality", US_national_yearly!$D:$AM, 34, FALSE) / VLOOKUP("buildings|SO2|Infant mortality", US_national_yearly!$D:$AM, 10, FALSE), 1)</f>
        <v>8.7116870517894683E-7</v>
      </c>
      <c r="AA3" s="7">
        <f>$B3 * IFERROR(VLOOKUP("buildings|SO2|Infant mortality", US_national_yearly!$D:$AM, 35, FALSE) / VLOOKUP("buildings|SO2|Infant mortality", US_national_yearly!$D:$AM, 10, FALSE), 1)</f>
        <v>8.6599398938377957E-7</v>
      </c>
      <c r="AB3" s="7">
        <f>$B3 * IFERROR(VLOOKUP("buildings|SO2|Infant mortality", US_national_yearly!$D:$AM, 36, FALSE) / VLOOKUP("buildings|SO2|Infant mortality", US_national_yearly!$D:$AM, 10, FALSE), 1)</f>
        <v>8.6081927358861263E-7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2.452747111059863E-3</v>
      </c>
      <c r="C6" s="7">
        <f>$B6 * IFERROR(VLOOKUP("buildings|SO2|Asthma symptoms cough", US_national_yearly!$D:$AM, 11, FALSE) / VLOOKUP("buildings|SO2|Asthma symptoms cough", US_national_yearly!$D:$AM, 10, FALSE), 1)</f>
        <v>2.452747111059863E-3</v>
      </c>
      <c r="D6" s="7">
        <f>$B6 * IFERROR(VLOOKUP("buildings|SO2|Asthma symptoms cough", US_national_yearly!$D:$AM, 12, FALSE) / VLOOKUP("buildings|SO2|Asthma symptoms cough", US_national_yearly!$D:$AM, 10, FALSE), 1)</f>
        <v>2.452747111059863E-3</v>
      </c>
      <c r="E6" s="7">
        <f>$B6 * IFERROR(VLOOKUP("buildings|SO2|Asthma symptoms cough", US_national_yearly!$D:$AM, 13, FALSE) / VLOOKUP("buildings|SO2|Asthma symptoms cough", US_national_yearly!$D:$AM, 10, FALSE), 1)</f>
        <v>2.452747111059863E-3</v>
      </c>
      <c r="F6" s="7">
        <f>$B6 * IFERROR(VLOOKUP("buildings|SO2|Asthma symptoms cough", US_national_yearly!$D:$AM, 14, FALSE) / VLOOKUP("buildings|SO2|Asthma symptoms cough", US_national_yearly!$D:$AM, 10, FALSE), 1)</f>
        <v>2.452747111059863E-3</v>
      </c>
      <c r="G6" s="7">
        <f>$B6 * IFERROR(VLOOKUP("buildings|SO2|Asthma symptoms cough", US_national_yearly!$D:$AM, 15, FALSE) / VLOOKUP("buildings|SO2|Asthma symptoms cough", US_national_yearly!$D:$AM, 10, FALSE), 1)</f>
        <v>2.452747111059863E-3</v>
      </c>
      <c r="H6" s="7">
        <f>$B6 * IFERROR(VLOOKUP("buildings|SO2|Asthma symptoms cough", US_national_yearly!$D:$AM, 16, FALSE) / VLOOKUP("buildings|SO2|Asthma symptoms cough", US_national_yearly!$D:$AM, 10, FALSE), 1)</f>
        <v>2.452747111059863E-3</v>
      </c>
      <c r="I6" s="7">
        <f>$B6 * IFERROR(VLOOKUP("buildings|SO2|Asthma symptoms cough", US_national_yearly!$D:$AM, 17, FALSE) / VLOOKUP("buildings|SO2|Asthma symptoms cough", US_national_yearly!$D:$AM, 10, FALSE), 1)</f>
        <v>2.452747111059863E-3</v>
      </c>
      <c r="J6" s="7">
        <f>$B6 * IFERROR(VLOOKUP("buildings|SO2|Asthma symptoms cough", US_national_yearly!$D:$AM, 18, FALSE) / VLOOKUP("buildings|SO2|Asthma symptoms cough", US_national_yearly!$D:$AM, 10, FALSE), 1)</f>
        <v>2.452747111059863E-3</v>
      </c>
      <c r="K6" s="7">
        <f>$B6 * IFERROR(VLOOKUP("buildings|SO2|Asthma symptoms cough", US_national_yearly!$D:$AM, 19, FALSE) / VLOOKUP("buildings|SO2|Asthma symptoms cough", US_national_yearly!$D:$AM, 10, FALSE), 1)</f>
        <v>2.452747111059863E-3</v>
      </c>
      <c r="L6" s="7">
        <f>$B6 * IFERROR(VLOOKUP("buildings|SO2|Asthma symptoms cough", US_national_yearly!$D:$AM, 20, FALSE) / VLOOKUP("buildings|SO2|Asthma symptoms cough", US_national_yearly!$D:$AM, 10, FALSE), 1)</f>
        <v>2.452747111059863E-3</v>
      </c>
      <c r="M6" s="7">
        <f>$B6 * IFERROR(VLOOKUP("buildings|SO2|Asthma symptoms cough", US_national_yearly!$D:$AM, 21, FALSE) / VLOOKUP("buildings|SO2|Asthma symptoms cough", US_national_yearly!$D:$AM, 10, FALSE), 1)</f>
        <v>2.452747111059863E-3</v>
      </c>
      <c r="N6" s="7">
        <f>$B6 * IFERROR(VLOOKUP("buildings|SO2|Asthma symptoms cough", US_national_yearly!$D:$AM, 22, FALSE) / VLOOKUP("buildings|SO2|Asthma symptoms cough", US_national_yearly!$D:$AM, 10, FALSE), 1)</f>
        <v>2.452747111059863E-3</v>
      </c>
      <c r="O6" s="7">
        <f>$B6 * IFERROR(VLOOKUP("buildings|SO2|Asthma symptoms cough", US_national_yearly!$D:$AM, 23, FALSE) / VLOOKUP("buildings|SO2|Asthma symptoms cough", US_national_yearly!$D:$AM, 10, FALSE), 1)</f>
        <v>2.452747111059863E-3</v>
      </c>
      <c r="P6" s="7">
        <f>$B6 * IFERROR(VLOOKUP("buildings|SO2|Asthma symptoms cough", US_national_yearly!$D:$AM, 24, FALSE) / VLOOKUP("buildings|SO2|Asthma symptoms cough", US_national_yearly!$D:$AM, 10, FALSE), 1)</f>
        <v>2.452747111059863E-3</v>
      </c>
      <c r="Q6" s="7">
        <f>$B6 * IFERROR(VLOOKUP("buildings|SO2|Asthma symptoms cough", US_national_yearly!$D:$AM, 25, FALSE) / VLOOKUP("buildings|SO2|Asthma symptoms cough", US_national_yearly!$D:$AM, 10, FALSE), 1)</f>
        <v>2.452747111059863E-3</v>
      </c>
      <c r="R6" s="7">
        <f>$B6 * IFERROR(VLOOKUP("buildings|SO2|Asthma symptoms cough", US_national_yearly!$D:$AM, 26, FALSE) / VLOOKUP("buildings|SO2|Asthma symptoms cough", US_national_yearly!$D:$AM, 10, FALSE), 1)</f>
        <v>2.452747111059863E-3</v>
      </c>
      <c r="S6" s="7">
        <f>$B6 * IFERROR(VLOOKUP("buildings|SO2|Asthma symptoms cough", US_national_yearly!$D:$AM, 27, FALSE) / VLOOKUP("buildings|SO2|Asthma symptoms cough", US_national_yearly!$D:$AM, 10, FALSE), 1)</f>
        <v>2.452747111059863E-3</v>
      </c>
      <c r="T6" s="7">
        <f>$B6 * IFERROR(VLOOKUP("buildings|SO2|Asthma symptoms cough", US_national_yearly!$D:$AM, 28, FALSE) / VLOOKUP("buildings|SO2|Asthma symptoms cough", US_national_yearly!$D:$AM, 10, FALSE), 1)</f>
        <v>2.452747111059863E-3</v>
      </c>
      <c r="U6" s="7">
        <f>$B6 * IFERROR(VLOOKUP("buildings|SO2|Asthma symptoms cough", US_national_yearly!$D:$AM, 29, FALSE) / VLOOKUP("buildings|SO2|Asthma symptoms cough", US_national_yearly!$D:$AM, 10, FALSE), 1)</f>
        <v>2.452747111059863E-3</v>
      </c>
      <c r="V6" s="7">
        <f>$B6 * IFERROR(VLOOKUP("buildings|SO2|Asthma symptoms cough", US_national_yearly!$D:$AM, 30, FALSE) / VLOOKUP("buildings|SO2|Asthma symptoms cough", US_national_yearly!$D:$AM, 10, FALSE), 1)</f>
        <v>2.452747111059863E-3</v>
      </c>
      <c r="W6" s="7">
        <f>$B6 * IFERROR(VLOOKUP("buildings|SO2|Asthma symptoms cough", US_national_yearly!$D:$AM, 31, FALSE) / VLOOKUP("buildings|SO2|Asthma symptoms cough", US_national_yearly!$D:$AM, 10, FALSE), 1)</f>
        <v>2.452747111059863E-3</v>
      </c>
      <c r="X6" s="7">
        <f>$B6 * IFERROR(VLOOKUP("buildings|SO2|Asthma symptoms cough", US_national_yearly!$D:$AM, 32, FALSE) / VLOOKUP("buildings|SO2|Asthma symptoms cough", US_national_yearly!$D:$AM, 10, FALSE), 1)</f>
        <v>2.452747111059863E-3</v>
      </c>
      <c r="Y6" s="7">
        <f>$B6 * IFERROR(VLOOKUP("buildings|SO2|Asthma symptoms cough", US_national_yearly!$D:$AM, 33, FALSE) / VLOOKUP("buildings|SO2|Asthma symptoms cough", US_national_yearly!$D:$AM, 10, FALSE), 1)</f>
        <v>2.452747111059863E-3</v>
      </c>
      <c r="Z6" s="7">
        <f>$B6 * IFERROR(VLOOKUP("buildings|SO2|Asthma symptoms cough", US_national_yearly!$D:$AM, 34, FALSE) / VLOOKUP("buildings|SO2|Asthma symptoms cough", US_national_yearly!$D:$AM, 10, FALSE), 1)</f>
        <v>2.452747111059863E-3</v>
      </c>
      <c r="AA6" s="7">
        <f>$B6 * IFERROR(VLOOKUP("buildings|SO2|Asthma symptoms cough", US_national_yearly!$D:$AM, 35, FALSE) / VLOOKUP("buildings|SO2|Asthma symptoms cough", US_national_yearly!$D:$AM, 10, FALSE), 1)</f>
        <v>2.452747111059863E-3</v>
      </c>
      <c r="AB6" s="7">
        <f>$B6 * IFERROR(VLOOKUP("buildings|SO2|Asthma symptoms cough", US_national_yearly!$D:$AM, 36, FALSE) / VLOOKUP("buildings|SO2|Asthma symptoms cough", US_national_yearly!$D:$AM, 10, FALSE), 1)</f>
        <v>2.452747111059863E-3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3.3029841272574547E-3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3.3029841272574547E-3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3.3029841272574547E-3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3.3029841272574547E-3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3.3029841272574547E-3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3.3029841272574547E-3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3.3029841272574547E-3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3.3029841272574547E-3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3.3029841272574547E-3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3.3029841272574547E-3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3.3029841272574547E-3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3.3029841272574547E-3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3.3029841272574547E-3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3.3029841272574547E-3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3.3029841272574547E-3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3.3029841272574547E-3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3.3029841272574547E-3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3.3029841272574547E-3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3.3029841272574547E-3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3.3029841272574547E-3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3.3029841272574547E-3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3.3029841272574547E-3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3.3029841272574547E-3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3.3029841272574547E-3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3.3029841272574547E-3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3.3029841272574547E-3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3.3029841272574547E-3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5.0463848645400915E-3</v>
      </c>
      <c r="C8" s="7">
        <f>$B8 * IFERROR(VLOOKUP("buildings|SO2|Asthma symptoms wheeze", US_national_yearly!$D:$AM, 11, FALSE) / VLOOKUP("buildings|SO2|Asthma symptoms wheeze", US_national_yearly!$D:$AM, 10, FALSE), 1)</f>
        <v>5.0463848645400915E-3</v>
      </c>
      <c r="D8" s="7">
        <f>$B8 * IFERROR(VLOOKUP("buildings|SO2|Asthma symptoms wheeze", US_national_yearly!$D:$AM, 12, FALSE) / VLOOKUP("buildings|SO2|Asthma symptoms wheeze", US_national_yearly!$D:$AM, 10, FALSE), 1)</f>
        <v>5.0463848645400915E-3</v>
      </c>
      <c r="E8" s="7">
        <f>$B8 * IFERROR(VLOOKUP("buildings|SO2|Asthma symptoms wheeze", US_national_yearly!$D:$AM, 13, FALSE) / VLOOKUP("buildings|SO2|Asthma symptoms wheeze", US_national_yearly!$D:$AM, 10, FALSE), 1)</f>
        <v>5.0463848645400915E-3</v>
      </c>
      <c r="F8" s="7">
        <f>$B8 * IFERROR(VLOOKUP("buildings|SO2|Asthma symptoms wheeze", US_national_yearly!$D:$AM, 14, FALSE) / VLOOKUP("buildings|SO2|Asthma symptoms wheeze", US_national_yearly!$D:$AM, 10, FALSE), 1)</f>
        <v>5.0463848645400915E-3</v>
      </c>
      <c r="G8" s="7">
        <f>$B8 * IFERROR(VLOOKUP("buildings|SO2|Asthma symptoms wheeze", US_national_yearly!$D:$AM, 15, FALSE) / VLOOKUP("buildings|SO2|Asthma symptoms wheeze", US_national_yearly!$D:$AM, 10, FALSE), 1)</f>
        <v>5.0463848645400915E-3</v>
      </c>
      <c r="H8" s="7">
        <f>$B8 * IFERROR(VLOOKUP("buildings|SO2|Asthma symptoms wheeze", US_national_yearly!$D:$AM, 16, FALSE) / VLOOKUP("buildings|SO2|Asthma symptoms wheeze", US_national_yearly!$D:$AM, 10, FALSE), 1)</f>
        <v>5.0463848645400915E-3</v>
      </c>
      <c r="I8" s="7">
        <f>$B8 * IFERROR(VLOOKUP("buildings|SO2|Asthma symptoms wheeze", US_national_yearly!$D:$AM, 17, FALSE) / VLOOKUP("buildings|SO2|Asthma symptoms wheeze", US_national_yearly!$D:$AM, 10, FALSE), 1)</f>
        <v>5.0463848645400915E-3</v>
      </c>
      <c r="J8" s="7">
        <f>$B8 * IFERROR(VLOOKUP("buildings|SO2|Asthma symptoms wheeze", US_national_yearly!$D:$AM, 18, FALSE) / VLOOKUP("buildings|SO2|Asthma symptoms wheeze", US_national_yearly!$D:$AM, 10, FALSE), 1)</f>
        <v>5.0463848645400915E-3</v>
      </c>
      <c r="K8" s="7">
        <f>$B8 * IFERROR(VLOOKUP("buildings|SO2|Asthma symptoms wheeze", US_national_yearly!$D:$AM, 19, FALSE) / VLOOKUP("buildings|SO2|Asthma symptoms wheeze", US_national_yearly!$D:$AM, 10, FALSE), 1)</f>
        <v>5.0463848645400915E-3</v>
      </c>
      <c r="L8" s="7">
        <f>$B8 * IFERROR(VLOOKUP("buildings|SO2|Asthma symptoms wheeze", US_national_yearly!$D:$AM, 20, FALSE) / VLOOKUP("buildings|SO2|Asthma symptoms wheeze", US_national_yearly!$D:$AM, 10, FALSE), 1)</f>
        <v>5.0463848645400915E-3</v>
      </c>
      <c r="M8" s="7">
        <f>$B8 * IFERROR(VLOOKUP("buildings|SO2|Asthma symptoms wheeze", US_national_yearly!$D:$AM, 21, FALSE) / VLOOKUP("buildings|SO2|Asthma symptoms wheeze", US_national_yearly!$D:$AM, 10, FALSE), 1)</f>
        <v>5.0463848645400915E-3</v>
      </c>
      <c r="N8" s="7">
        <f>$B8 * IFERROR(VLOOKUP("buildings|SO2|Asthma symptoms wheeze", US_national_yearly!$D:$AM, 22, FALSE) / VLOOKUP("buildings|SO2|Asthma symptoms wheeze", US_national_yearly!$D:$AM, 10, FALSE), 1)</f>
        <v>5.0463848645400915E-3</v>
      </c>
      <c r="O8" s="7">
        <f>$B8 * IFERROR(VLOOKUP("buildings|SO2|Asthma symptoms wheeze", US_national_yearly!$D:$AM, 23, FALSE) / VLOOKUP("buildings|SO2|Asthma symptoms wheeze", US_national_yearly!$D:$AM, 10, FALSE), 1)</f>
        <v>5.0463848645400915E-3</v>
      </c>
      <c r="P8" s="7">
        <f>$B8 * IFERROR(VLOOKUP("buildings|SO2|Asthma symptoms wheeze", US_national_yearly!$D:$AM, 24, FALSE) / VLOOKUP("buildings|SO2|Asthma symptoms wheeze", US_national_yearly!$D:$AM, 10, FALSE), 1)</f>
        <v>5.0463848645400915E-3</v>
      </c>
      <c r="Q8" s="7">
        <f>$B8 * IFERROR(VLOOKUP("buildings|SO2|Asthma symptoms wheeze", US_national_yearly!$D:$AM, 25, FALSE) / VLOOKUP("buildings|SO2|Asthma symptoms wheeze", US_national_yearly!$D:$AM, 10, FALSE), 1)</f>
        <v>5.0463848645400915E-3</v>
      </c>
      <c r="R8" s="7">
        <f>$B8 * IFERROR(VLOOKUP("buildings|SO2|Asthma symptoms wheeze", US_national_yearly!$D:$AM, 26, FALSE) / VLOOKUP("buildings|SO2|Asthma symptoms wheeze", US_national_yearly!$D:$AM, 10, FALSE), 1)</f>
        <v>5.0463848645400915E-3</v>
      </c>
      <c r="S8" s="7">
        <f>$B8 * IFERROR(VLOOKUP("buildings|SO2|Asthma symptoms wheeze", US_national_yearly!$D:$AM, 27, FALSE) / VLOOKUP("buildings|SO2|Asthma symptoms wheeze", US_national_yearly!$D:$AM, 10, FALSE), 1)</f>
        <v>5.0463848645400915E-3</v>
      </c>
      <c r="T8" s="7">
        <f>$B8 * IFERROR(VLOOKUP("buildings|SO2|Asthma symptoms wheeze", US_national_yearly!$D:$AM, 28, FALSE) / VLOOKUP("buildings|SO2|Asthma symptoms wheeze", US_national_yearly!$D:$AM, 10, FALSE), 1)</f>
        <v>5.0463848645400915E-3</v>
      </c>
      <c r="U8" s="7">
        <f>$B8 * IFERROR(VLOOKUP("buildings|SO2|Asthma symptoms wheeze", US_national_yearly!$D:$AM, 29, FALSE) / VLOOKUP("buildings|SO2|Asthma symptoms wheeze", US_national_yearly!$D:$AM, 10, FALSE), 1)</f>
        <v>5.0463848645400915E-3</v>
      </c>
      <c r="V8" s="7">
        <f>$B8 * IFERROR(VLOOKUP("buildings|SO2|Asthma symptoms wheeze", US_national_yearly!$D:$AM, 30, FALSE) / VLOOKUP("buildings|SO2|Asthma symptoms wheeze", US_national_yearly!$D:$AM, 10, FALSE), 1)</f>
        <v>5.0463848645400915E-3</v>
      </c>
      <c r="W8" s="7">
        <f>$B8 * IFERROR(VLOOKUP("buildings|SO2|Asthma symptoms wheeze", US_national_yearly!$D:$AM, 31, FALSE) / VLOOKUP("buildings|SO2|Asthma symptoms wheeze", US_national_yearly!$D:$AM, 10, FALSE), 1)</f>
        <v>5.0463848645400915E-3</v>
      </c>
      <c r="X8" s="7">
        <f>$B8 * IFERROR(VLOOKUP("buildings|SO2|Asthma symptoms wheeze", US_national_yearly!$D:$AM, 32, FALSE) / VLOOKUP("buildings|SO2|Asthma symptoms wheeze", US_national_yearly!$D:$AM, 10, FALSE), 1)</f>
        <v>5.0463848645400915E-3</v>
      </c>
      <c r="Y8" s="7">
        <f>$B8 * IFERROR(VLOOKUP("buildings|SO2|Asthma symptoms wheeze", US_national_yearly!$D:$AM, 33, FALSE) / VLOOKUP("buildings|SO2|Asthma symptoms wheeze", US_national_yearly!$D:$AM, 10, FALSE), 1)</f>
        <v>5.0463848645400915E-3</v>
      </c>
      <c r="Z8" s="7">
        <f>$B8 * IFERROR(VLOOKUP("buildings|SO2|Asthma symptoms wheeze", US_national_yearly!$D:$AM, 34, FALSE) / VLOOKUP("buildings|SO2|Asthma symptoms wheeze", US_national_yearly!$D:$AM, 10, FALSE), 1)</f>
        <v>5.0463848645400915E-3</v>
      </c>
      <c r="AA8" s="7">
        <f>$B8 * IFERROR(VLOOKUP("buildings|SO2|Asthma symptoms wheeze", US_national_yearly!$D:$AM, 35, FALSE) / VLOOKUP("buildings|SO2|Asthma symptoms wheeze", US_national_yearly!$D:$AM, 10, FALSE), 1)</f>
        <v>5.0463848645400915E-3</v>
      </c>
      <c r="AB8" s="7">
        <f>$B8 * IFERROR(VLOOKUP("buildings|SO2|Asthma symptoms wheeze", US_national_yearly!$D:$AM, 36, FALSE) / VLOOKUP("buildings|SO2|Asthma symptoms wheeze", US_national_yearly!$D:$AM, 10, FALSE), 1)</f>
        <v>5.0463848645400915E-3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8.4714470760688612E-5</v>
      </c>
      <c r="C12" s="7">
        <f>$B12 * IFERROR(VLOOKUP("buildings|SO2|Respiratory hospital admissions", US_national_yearly!$D:$AM, 11, FALSE) / VLOOKUP("buildings|SO2|Respiratory hospital admissions", US_national_yearly!$D:$AM, 10, FALSE), 1)</f>
        <v>8.5214826872364037E-5</v>
      </c>
      <c r="D12" s="7">
        <f>$B12 * IFERROR(VLOOKUP("buildings|SO2|Respiratory hospital admissions", US_national_yearly!$D:$AM, 12, FALSE) / VLOOKUP("buildings|SO2|Respiratory hospital admissions", US_national_yearly!$D:$AM, 10, FALSE), 1)</f>
        <v>8.5715182984039476E-5</v>
      </c>
      <c r="E12" s="7">
        <f>$B12 * IFERROR(VLOOKUP("buildings|SO2|Respiratory hospital admissions", US_national_yearly!$D:$AM, 13, FALSE) / VLOOKUP("buildings|SO2|Respiratory hospital admissions", US_national_yearly!$D:$AM, 10, FALSE), 1)</f>
        <v>8.6215539095714901E-5</v>
      </c>
      <c r="F12" s="7">
        <f>$B12 * IFERROR(VLOOKUP("buildings|SO2|Respiratory hospital admissions", US_national_yearly!$D:$AM, 14, FALSE) / VLOOKUP("buildings|SO2|Respiratory hospital admissions", US_national_yearly!$D:$AM, 10, FALSE), 1)</f>
        <v>8.6715895207390326E-5</v>
      </c>
      <c r="G12" s="7">
        <f>$B12 * IFERROR(VLOOKUP("buildings|SO2|Respiratory hospital admissions", US_national_yearly!$D:$AM, 15, FALSE) / VLOOKUP("buildings|SO2|Respiratory hospital admissions", US_national_yearly!$D:$AM, 10, FALSE), 1)</f>
        <v>8.7261220331251565E-5</v>
      </c>
      <c r="H12" s="7">
        <f>$B12 * IFERROR(VLOOKUP("buildings|SO2|Respiratory hospital admissions", US_national_yearly!$D:$AM, 16, FALSE) / VLOOKUP("buildings|SO2|Respiratory hospital admissions", US_national_yearly!$D:$AM, 10, FALSE), 1)</f>
        <v>8.7806545455112819E-5</v>
      </c>
      <c r="I12" s="7">
        <f>$B12 * IFERROR(VLOOKUP("buildings|SO2|Respiratory hospital admissions", US_national_yearly!$D:$AM, 17, FALSE) / VLOOKUP("buildings|SO2|Respiratory hospital admissions", US_national_yearly!$D:$AM, 10, FALSE), 1)</f>
        <v>8.834320553737296E-5</v>
      </c>
      <c r="J12" s="7">
        <f>$B12 * IFERROR(VLOOKUP("buildings|SO2|Respiratory hospital admissions", US_national_yearly!$D:$AM, 18, FALSE) / VLOOKUP("buildings|SO2|Respiratory hospital admissions", US_national_yearly!$D:$AM, 10, FALSE), 1)</f>
        <v>8.8879865619633129E-5</v>
      </c>
      <c r="K12" s="7">
        <f>$B12 * IFERROR(VLOOKUP("buildings|SO2|Respiratory hospital admissions", US_national_yearly!$D:$AM, 19, FALSE) / VLOOKUP("buildings|SO2|Respiratory hospital admissions", US_national_yearly!$D:$AM, 10, FALSE), 1)</f>
        <v>8.9416525701893271E-5</v>
      </c>
      <c r="L12" s="7">
        <f>$B12 * IFERROR(VLOOKUP("buildings|SO2|Respiratory hospital admissions", US_national_yearly!$D:$AM, 20, FALSE) / VLOOKUP("buildings|SO2|Respiratory hospital admissions", US_national_yearly!$D:$AM, 10, FALSE), 1)</f>
        <v>8.9953185784153413E-5</v>
      </c>
      <c r="M12" s="7">
        <f>$B12 * IFERROR(VLOOKUP("buildings|SO2|Respiratory hospital admissions", US_national_yearly!$D:$AM, 21, FALSE) / VLOOKUP("buildings|SO2|Respiratory hospital admissions", US_national_yearly!$D:$AM, 10, FALSE), 1)</f>
        <v>9.0489845866413568E-5</v>
      </c>
      <c r="N12" s="7">
        <f>$B12 * IFERROR(VLOOKUP("buildings|SO2|Respiratory hospital admissions", US_national_yearly!$D:$AM, 22, FALSE) / VLOOKUP("buildings|SO2|Respiratory hospital admissions", US_national_yearly!$D:$AM, 10, FALSE), 1)</f>
        <v>9.0881696565576188E-5</v>
      </c>
      <c r="O12" s="7">
        <f>$B12 * IFERROR(VLOOKUP("buildings|SO2|Respiratory hospital admissions", US_national_yearly!$D:$AM, 23, FALSE) / VLOOKUP("buildings|SO2|Respiratory hospital admissions", US_national_yearly!$D:$AM, 10, FALSE), 1)</f>
        <v>9.1273547264738821E-5</v>
      </c>
      <c r="P12" s="7">
        <f>$B12 * IFERROR(VLOOKUP("buildings|SO2|Respiratory hospital admissions", US_national_yearly!$D:$AM, 24, FALSE) / VLOOKUP("buildings|SO2|Respiratory hospital admissions", US_national_yearly!$D:$AM, 10, FALSE), 1)</f>
        <v>9.1665397963901441E-5</v>
      </c>
      <c r="Q12" s="7">
        <f>$B12 * IFERROR(VLOOKUP("buildings|SO2|Respiratory hospital admissions", US_national_yearly!$D:$AM, 25, FALSE) / VLOOKUP("buildings|SO2|Respiratory hospital admissions", US_national_yearly!$D:$AM, 10, FALSE), 1)</f>
        <v>9.2057248663064074E-5</v>
      </c>
      <c r="R12" s="7">
        <f>$B12 * IFERROR(VLOOKUP("buildings|SO2|Respiratory hospital admissions", US_national_yearly!$D:$AM, 26, FALSE) / VLOOKUP("buildings|SO2|Respiratory hospital admissions", US_national_yearly!$D:$AM, 10, FALSE), 1)</f>
        <v>9.2449099362226694E-5</v>
      </c>
      <c r="S12" s="7">
        <f>$B12 * IFERROR(VLOOKUP("buildings|SO2|Respiratory hospital admissions", US_national_yearly!$D:$AM, 27, FALSE) / VLOOKUP("buildings|SO2|Respiratory hospital admissions", US_national_yearly!$D:$AM, 10, FALSE), 1)</f>
        <v>9.2822733603534229E-5</v>
      </c>
      <c r="T12" s="7">
        <f>$B12 * IFERROR(VLOOKUP("buildings|SO2|Respiratory hospital admissions", US_national_yearly!$D:$AM, 28, FALSE) / VLOOKUP("buildings|SO2|Respiratory hospital admissions", US_national_yearly!$D:$AM, 10, FALSE), 1)</f>
        <v>9.3196367844841765E-5</v>
      </c>
      <c r="U12" s="7">
        <f>$B12 * IFERROR(VLOOKUP("buildings|SO2|Respiratory hospital admissions", US_national_yearly!$D:$AM, 29, FALSE) / VLOOKUP("buildings|SO2|Respiratory hospital admissions", US_national_yearly!$D:$AM, 10, FALSE), 1)</f>
        <v>9.3570002086149287E-5</v>
      </c>
      <c r="V12" s="7">
        <f>$B12 * IFERROR(VLOOKUP("buildings|SO2|Respiratory hospital admissions", US_national_yearly!$D:$AM, 30, FALSE) / VLOOKUP("buildings|SO2|Respiratory hospital admissions", US_national_yearly!$D:$AM, 10, FALSE), 1)</f>
        <v>9.3943636327456823E-5</v>
      </c>
      <c r="W12" s="7">
        <f>$B12 * IFERROR(VLOOKUP("buildings|SO2|Respiratory hospital admissions", US_national_yearly!$D:$AM, 31, FALSE) / VLOOKUP("buildings|SO2|Respiratory hospital admissions", US_national_yearly!$D:$AM, 10, FALSE), 1)</f>
        <v>9.4317270568764359E-5</v>
      </c>
      <c r="X12" s="7">
        <f>$B12 * IFERROR(VLOOKUP("buildings|SO2|Respiratory hospital admissions", US_national_yearly!$D:$AM, 32, FALSE) / VLOOKUP("buildings|SO2|Respiratory hospital admissions", US_national_yearly!$D:$AM, 10, FALSE), 1)</f>
        <v>9.4672320584314416E-5</v>
      </c>
      <c r="Y12" s="7">
        <f>$B12 * IFERROR(VLOOKUP("buildings|SO2|Respiratory hospital admissions", US_national_yearly!$D:$AM, 33, FALSE) / VLOOKUP("buildings|SO2|Respiratory hospital admissions", US_national_yearly!$D:$AM, 10, FALSE), 1)</f>
        <v>9.5027370599864473E-5</v>
      </c>
      <c r="Z12" s="7">
        <f>$B12 * IFERROR(VLOOKUP("buildings|SO2|Respiratory hospital admissions", US_national_yearly!$D:$AM, 34, FALSE) / VLOOKUP("buildings|SO2|Respiratory hospital admissions", US_national_yearly!$D:$AM, 10, FALSE), 1)</f>
        <v>9.5382420615414517E-5</v>
      </c>
      <c r="AA12" s="7">
        <f>$B12 * IFERROR(VLOOKUP("buildings|SO2|Respiratory hospital admissions", US_national_yearly!$D:$AM, 35, FALSE) / VLOOKUP("buildings|SO2|Respiratory hospital admissions", US_national_yearly!$D:$AM, 10, FALSE), 1)</f>
        <v>9.573747063096456E-5</v>
      </c>
      <c r="AB12" s="7">
        <f>$B12 * IFERROR(VLOOKUP("buildings|SO2|Respiratory hospital admissions", US_national_yearly!$D:$AM, 36, FALSE) / VLOOKUP("buildings|SO2|Respiratory hospital admissions", US_national_yearly!$D:$AM, 10, FALSE), 1)</f>
        <v>9.6092520646514631E-5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4.2510758722815709E-4</v>
      </c>
      <c r="C13" s="7">
        <f>$B13 * IFERROR(VLOOKUP("buildings|SO2|Non-fatal heart attacks", US_national_yearly!$D:$AM, 11, FALSE) / VLOOKUP("buildings|SO2|Non-fatal heart attacks", US_national_yearly!$D:$AM, 10, FALSE), 1)</f>
        <v>4.3759123666454921E-4</v>
      </c>
      <c r="D13" s="7">
        <f>$B13 * IFERROR(VLOOKUP("buildings|SO2|Non-fatal heart attacks", US_national_yearly!$D:$AM, 12, FALSE) / VLOOKUP("buildings|SO2|Non-fatal heart attacks", US_national_yearly!$D:$AM, 10, FALSE), 1)</f>
        <v>4.5007488610094117E-4</v>
      </c>
      <c r="E13" s="7">
        <f>$B13 * IFERROR(VLOOKUP("buildings|SO2|Non-fatal heart attacks", US_national_yearly!$D:$AM, 13, FALSE) / VLOOKUP("buildings|SO2|Non-fatal heart attacks", US_national_yearly!$D:$AM, 10, FALSE), 1)</f>
        <v>4.6255853553733319E-4</v>
      </c>
      <c r="F13" s="7">
        <f>$B13 * IFERROR(VLOOKUP("buildings|SO2|Non-fatal heart attacks", US_national_yearly!$D:$AM, 14, FALSE) / VLOOKUP("buildings|SO2|Non-fatal heart attacks", US_national_yearly!$D:$AM, 10, FALSE), 1)</f>
        <v>4.7504218497372531E-4</v>
      </c>
      <c r="G13" s="7">
        <f>$B13 * IFERROR(VLOOKUP("buildings|SO2|Non-fatal heart attacks", US_national_yearly!$D:$AM, 15, FALSE) / VLOOKUP("buildings|SO2|Non-fatal heart attacks", US_national_yearly!$D:$AM, 10, FALSE), 1)</f>
        <v>4.8681627975887085E-4</v>
      </c>
      <c r="H13" s="7">
        <f>$B13 * IFERROR(VLOOKUP("buildings|SO2|Non-fatal heart attacks", US_national_yearly!$D:$AM, 16, FALSE) / VLOOKUP("buildings|SO2|Non-fatal heart attacks", US_national_yearly!$D:$AM, 10, FALSE), 1)</f>
        <v>4.985903745440165E-4</v>
      </c>
      <c r="I13" s="7">
        <f>$B13 * IFERROR(VLOOKUP("buildings|SO2|Non-fatal heart attacks", US_national_yearly!$D:$AM, 17, FALSE) / VLOOKUP("buildings|SO2|Non-fatal heart attacks", US_national_yearly!$D:$AM, 10, FALSE), 1)</f>
        <v>5.0806774041467213E-4</v>
      </c>
      <c r="J13" s="7">
        <f>$B13 * IFERROR(VLOOKUP("buildings|SO2|Non-fatal heart attacks", US_national_yearly!$D:$AM, 18, FALSE) / VLOOKUP("buildings|SO2|Non-fatal heart attacks", US_national_yearly!$D:$AM, 10, FALSE), 1)</f>
        <v>5.1754510628532788E-4</v>
      </c>
      <c r="K13" s="7">
        <f>$B13 * IFERROR(VLOOKUP("buildings|SO2|Non-fatal heart attacks", US_national_yearly!$D:$AM, 19, FALSE) / VLOOKUP("buildings|SO2|Non-fatal heart attacks", US_national_yearly!$D:$AM, 10, FALSE), 1)</f>
        <v>5.2702247215598362E-4</v>
      </c>
      <c r="L13" s="7">
        <f>$B13 * IFERROR(VLOOKUP("buildings|SO2|Non-fatal heart attacks", US_national_yearly!$D:$AM, 20, FALSE) / VLOOKUP("buildings|SO2|Non-fatal heart attacks", US_national_yearly!$D:$AM, 10, FALSE), 1)</f>
        <v>5.3649983802663947E-4</v>
      </c>
      <c r="M13" s="7">
        <f>$B13 * IFERROR(VLOOKUP("buildings|SO2|Non-fatal heart attacks", US_national_yearly!$D:$AM, 21, FALSE) / VLOOKUP("buildings|SO2|Non-fatal heart attacks", US_national_yearly!$D:$AM, 10, FALSE), 1)</f>
        <v>5.4597720389729521E-4</v>
      </c>
      <c r="N13" s="7">
        <f>$B13 * IFERROR(VLOOKUP("buildings|SO2|Non-fatal heart attacks", US_national_yearly!$D:$AM, 22, FALSE) / VLOOKUP("buildings|SO2|Non-fatal heart attacks", US_national_yearly!$D:$AM, 10, FALSE), 1)</f>
        <v>5.5212845491062386E-4</v>
      </c>
      <c r="O13" s="7">
        <f>$B13 * IFERROR(VLOOKUP("buildings|SO2|Non-fatal heart attacks", US_national_yearly!$D:$AM, 23, FALSE) / VLOOKUP("buildings|SO2|Non-fatal heart attacks", US_national_yearly!$D:$AM, 10, FALSE), 1)</f>
        <v>5.5827970592395271E-4</v>
      </c>
      <c r="P13" s="7">
        <f>$B13 * IFERROR(VLOOKUP("buildings|SO2|Non-fatal heart attacks", US_national_yearly!$D:$AM, 24, FALSE) / VLOOKUP("buildings|SO2|Non-fatal heart attacks", US_national_yearly!$D:$AM, 10, FALSE), 1)</f>
        <v>5.6443095693728136E-4</v>
      </c>
      <c r="Q13" s="7">
        <f>$B13 * IFERROR(VLOOKUP("buildings|SO2|Non-fatal heart attacks", US_national_yearly!$D:$AM, 25, FALSE) / VLOOKUP("buildings|SO2|Non-fatal heart attacks", US_national_yearly!$D:$AM, 10, FALSE), 1)</f>
        <v>5.7058220795061E-4</v>
      </c>
      <c r="R13" s="7">
        <f>$B13 * IFERROR(VLOOKUP("buildings|SO2|Non-fatal heart attacks", US_national_yearly!$D:$AM, 26, FALSE) / VLOOKUP("buildings|SO2|Non-fatal heart attacks", US_national_yearly!$D:$AM, 10, FALSE), 1)</f>
        <v>5.7673345896393886E-4</v>
      </c>
      <c r="S13" s="7">
        <f>$B13 * IFERROR(VLOOKUP("buildings|SO2|Non-fatal heart attacks", US_national_yearly!$D:$AM, 27, FALSE) / VLOOKUP("buildings|SO2|Non-fatal heart attacks", US_national_yearly!$D:$AM, 10, FALSE), 1)</f>
        <v>5.7994563217118335E-4</v>
      </c>
      <c r="T13" s="7">
        <f>$B13 * IFERROR(VLOOKUP("buildings|SO2|Non-fatal heart attacks", US_national_yearly!$D:$AM, 28, FALSE) / VLOOKUP("buildings|SO2|Non-fatal heart attacks", US_national_yearly!$D:$AM, 10, FALSE), 1)</f>
        <v>5.8315780537842785E-4</v>
      </c>
      <c r="U13" s="7">
        <f>$B13 * IFERROR(VLOOKUP("buildings|SO2|Non-fatal heart attacks", US_national_yearly!$D:$AM, 29, FALSE) / VLOOKUP("buildings|SO2|Non-fatal heart attacks", US_national_yearly!$D:$AM, 10, FALSE), 1)</f>
        <v>5.8636997858567224E-4</v>
      </c>
      <c r="V13" s="7">
        <f>$B13 * IFERROR(VLOOKUP("buildings|SO2|Non-fatal heart attacks", US_national_yearly!$D:$AM, 30, FALSE) / VLOOKUP("buildings|SO2|Non-fatal heart attacks", US_national_yearly!$D:$AM, 10, FALSE), 1)</f>
        <v>5.8958215179291673E-4</v>
      </c>
      <c r="W13" s="7">
        <f>$B13 * IFERROR(VLOOKUP("buildings|SO2|Non-fatal heart attacks", US_national_yearly!$D:$AM, 31, FALSE) / VLOOKUP("buildings|SO2|Non-fatal heart attacks", US_national_yearly!$D:$AM, 10, FALSE), 1)</f>
        <v>5.9279432500016123E-4</v>
      </c>
      <c r="X13" s="7">
        <f>$B13 * IFERROR(VLOOKUP("buildings|SO2|Non-fatal heart attacks", US_national_yearly!$D:$AM, 32, FALSE) / VLOOKUP("buildings|SO2|Non-fatal heart attacks", US_national_yearly!$D:$AM, 10, FALSE), 1)</f>
        <v>5.9522039409064004E-4</v>
      </c>
      <c r="Y13" s="7">
        <f>$B13 * IFERROR(VLOOKUP("buildings|SO2|Non-fatal heart attacks", US_national_yearly!$D:$AM, 33, FALSE) / VLOOKUP("buildings|SO2|Non-fatal heart attacks", US_national_yearly!$D:$AM, 10, FALSE), 1)</f>
        <v>5.9764646318111886E-4</v>
      </c>
      <c r="Z13" s="7">
        <f>$B13 * IFERROR(VLOOKUP("buildings|SO2|Non-fatal heart attacks", US_national_yearly!$D:$AM, 34, FALSE) / VLOOKUP("buildings|SO2|Non-fatal heart attacks", US_national_yearly!$D:$AM, 10, FALSE), 1)</f>
        <v>6.0007253227159745E-4</v>
      </c>
      <c r="AA13" s="7">
        <f>$B13 * IFERROR(VLOOKUP("buildings|SO2|Non-fatal heart attacks", US_national_yearly!$D:$AM, 35, FALSE) / VLOOKUP("buildings|SO2|Non-fatal heart attacks", US_national_yearly!$D:$AM, 10, FALSE), 1)</f>
        <v>6.0249860136207627E-4</v>
      </c>
      <c r="AB13" s="7">
        <f>$B13 * IFERROR(VLOOKUP("buildings|SO2|Non-fatal heart attacks", US_national_yearly!$D:$AM, 36, FALSE) / VLOOKUP("buildings|SO2|Non-fatal heart attacks", US_national_yearly!$D:$AM, 10, FALSE), 1)</f>
        <v>6.0492467045255498E-4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0.28688378502321144</v>
      </c>
      <c r="C14" s="7">
        <f>$B14 * IFERROR(VLOOKUP("buildings|SO2|Minor restricted activity days", US_national_yearly!$D:$AM, 11, FALSE) / VLOOKUP("buildings|SO2|Minor restricted activity days", US_national_yearly!$D:$AM, 10, FALSE), 1)</f>
        <v>0.28761001621245252</v>
      </c>
      <c r="D14" s="7">
        <f>$B14 * IFERROR(VLOOKUP("buildings|SO2|Minor restricted activity days", US_national_yearly!$D:$AM, 12, FALSE) / VLOOKUP("buildings|SO2|Minor restricted activity days", US_national_yearly!$D:$AM, 10, FALSE), 1)</f>
        <v>0.28833624740169361</v>
      </c>
      <c r="E14" s="7">
        <f>$B14 * IFERROR(VLOOKUP("buildings|SO2|Minor restricted activity days", US_national_yearly!$D:$AM, 13, FALSE) / VLOOKUP("buildings|SO2|Minor restricted activity days", US_national_yearly!$D:$AM, 10, FALSE), 1)</f>
        <v>0.28906247859093476</v>
      </c>
      <c r="F14" s="7">
        <f>$B14 * IFERROR(VLOOKUP("buildings|SO2|Minor restricted activity days", US_national_yearly!$D:$AM, 14, FALSE) / VLOOKUP("buildings|SO2|Minor restricted activity days", US_national_yearly!$D:$AM, 10, FALSE), 1)</f>
        <v>0.28978870978017579</v>
      </c>
      <c r="G14" s="7">
        <f>$B14 * IFERROR(VLOOKUP("buildings|SO2|Minor restricted activity days", US_national_yearly!$D:$AM, 15, FALSE) / VLOOKUP("buildings|SO2|Minor restricted activity days", US_national_yearly!$D:$AM, 10, FALSE), 1)</f>
        <v>0.29085655737848526</v>
      </c>
      <c r="H14" s="7">
        <f>$B14 * IFERROR(VLOOKUP("buildings|SO2|Minor restricted activity days", US_national_yearly!$D:$AM, 16, FALSE) / VLOOKUP("buildings|SO2|Minor restricted activity days", US_national_yearly!$D:$AM, 10, FALSE), 1)</f>
        <v>0.29192440497679467</v>
      </c>
      <c r="I14" s="7">
        <f>$B14 * IFERROR(VLOOKUP("buildings|SO2|Minor restricted activity days", US_national_yearly!$D:$AM, 17, FALSE) / VLOOKUP("buildings|SO2|Minor restricted activity days", US_national_yearly!$D:$AM, 10, FALSE), 1)</f>
        <v>0.29374305690016983</v>
      </c>
      <c r="J14" s="7">
        <f>$B14 * IFERROR(VLOOKUP("buildings|SO2|Minor restricted activity days", US_national_yearly!$D:$AM, 18, FALSE) / VLOOKUP("buildings|SO2|Minor restricted activity days", US_national_yearly!$D:$AM, 10, FALSE), 1)</f>
        <v>0.29556170882354499</v>
      </c>
      <c r="K14" s="7">
        <f>$B14 * IFERROR(VLOOKUP("buildings|SO2|Minor restricted activity days", US_national_yearly!$D:$AM, 19, FALSE) / VLOOKUP("buildings|SO2|Minor restricted activity days", US_national_yearly!$D:$AM, 10, FALSE), 1)</f>
        <v>0.29738036074692015</v>
      </c>
      <c r="L14" s="7">
        <f>$B14 * IFERROR(VLOOKUP("buildings|SO2|Minor restricted activity days", US_national_yearly!$D:$AM, 20, FALSE) / VLOOKUP("buildings|SO2|Minor restricted activity days", US_national_yearly!$D:$AM, 10, FALSE), 1)</f>
        <v>0.29919901267029525</v>
      </c>
      <c r="M14" s="7">
        <f>$B14 * IFERROR(VLOOKUP("buildings|SO2|Minor restricted activity days", US_national_yearly!$D:$AM, 21, FALSE) / VLOOKUP("buildings|SO2|Minor restricted activity days", US_national_yearly!$D:$AM, 10, FALSE), 1)</f>
        <v>0.30101766459367041</v>
      </c>
      <c r="N14" s="7">
        <f>$B14 * IFERROR(VLOOKUP("buildings|SO2|Minor restricted activity days", US_national_yearly!$D:$AM, 22, FALSE) / VLOOKUP("buildings|SO2|Minor restricted activity days", US_national_yearly!$D:$AM, 10, FALSE), 1)</f>
        <v>0.30350457553020421</v>
      </c>
      <c r="O14" s="7">
        <f>$B14 * IFERROR(VLOOKUP("buildings|SO2|Minor restricted activity days", US_national_yearly!$D:$AM, 23, FALSE) / VLOOKUP("buildings|SO2|Minor restricted activity days", US_national_yearly!$D:$AM, 10, FALSE), 1)</f>
        <v>0.30599148646673796</v>
      </c>
      <c r="P14" s="7">
        <f>$B14 * IFERROR(VLOOKUP("buildings|SO2|Minor restricted activity days", US_national_yearly!$D:$AM, 24, FALSE) / VLOOKUP("buildings|SO2|Minor restricted activity days", US_national_yearly!$D:$AM, 10, FALSE), 1)</f>
        <v>0.30847839740327171</v>
      </c>
      <c r="Q14" s="7">
        <f>$B14 * IFERROR(VLOOKUP("buildings|SO2|Minor restricted activity days", US_national_yearly!$D:$AM, 25, FALSE) / VLOOKUP("buildings|SO2|Minor restricted activity days", US_national_yearly!$D:$AM, 10, FALSE), 1)</f>
        <v>0.31096530833980546</v>
      </c>
      <c r="R14" s="7">
        <f>$B14 * IFERROR(VLOOKUP("buildings|SO2|Minor restricted activity days", US_national_yearly!$D:$AM, 26, FALSE) / VLOOKUP("buildings|SO2|Minor restricted activity days", US_national_yearly!$D:$AM, 10, FALSE), 1)</f>
        <v>0.31345221927633926</v>
      </c>
      <c r="S14" s="7">
        <f>$B14 * IFERROR(VLOOKUP("buildings|SO2|Minor restricted activity days", US_national_yearly!$D:$AM, 27, FALSE) / VLOOKUP("buildings|SO2|Minor restricted activity days", US_national_yearly!$D:$AM, 10, FALSE), 1)</f>
        <v>0.31598746352156321</v>
      </c>
      <c r="T14" s="7">
        <f>$B14 * IFERROR(VLOOKUP("buildings|SO2|Minor restricted activity days", US_national_yearly!$D:$AM, 28, FALSE) / VLOOKUP("buildings|SO2|Minor restricted activity days", US_national_yearly!$D:$AM, 10, FALSE), 1)</f>
        <v>0.31852270776678715</v>
      </c>
      <c r="U14" s="7">
        <f>$B14 * IFERROR(VLOOKUP("buildings|SO2|Minor restricted activity days", US_national_yearly!$D:$AM, 29, FALSE) / VLOOKUP("buildings|SO2|Minor restricted activity days", US_national_yearly!$D:$AM, 10, FALSE), 1)</f>
        <v>0.32105795201201109</v>
      </c>
      <c r="V14" s="7">
        <f>$B14 * IFERROR(VLOOKUP("buildings|SO2|Minor restricted activity days", US_national_yearly!$D:$AM, 30, FALSE) / VLOOKUP("buildings|SO2|Minor restricted activity days", US_national_yearly!$D:$AM, 10, FALSE), 1)</f>
        <v>0.32359319625723504</v>
      </c>
      <c r="W14" s="7">
        <f>$B14 * IFERROR(VLOOKUP("buildings|SO2|Minor restricted activity days", US_national_yearly!$D:$AM, 31, FALSE) / VLOOKUP("buildings|SO2|Minor restricted activity days", US_national_yearly!$D:$AM, 10, FALSE), 1)</f>
        <v>0.32612844050245904</v>
      </c>
      <c r="X14" s="7">
        <f>$B14 * IFERROR(VLOOKUP("buildings|SO2|Minor restricted activity days", US_national_yearly!$D:$AM, 32, FALSE) / VLOOKUP("buildings|SO2|Minor restricted activity days", US_national_yearly!$D:$AM, 10, FALSE), 1)</f>
        <v>0.32835804109907907</v>
      </c>
      <c r="Y14" s="7">
        <f>$B14 * IFERROR(VLOOKUP("buildings|SO2|Minor restricted activity days", US_national_yearly!$D:$AM, 33, FALSE) / VLOOKUP("buildings|SO2|Minor restricted activity days", US_national_yearly!$D:$AM, 10, FALSE), 1)</f>
        <v>0.33058764169569915</v>
      </c>
      <c r="Z14" s="7">
        <f>$B14 * IFERROR(VLOOKUP("buildings|SO2|Minor restricted activity days", US_national_yearly!$D:$AM, 34, FALSE) / VLOOKUP("buildings|SO2|Minor restricted activity days", US_national_yearly!$D:$AM, 10, FALSE), 1)</f>
        <v>0.33281724229231913</v>
      </c>
      <c r="AA14" s="7">
        <f>$B14 * IFERROR(VLOOKUP("buildings|SO2|Minor restricted activity days", US_national_yearly!$D:$AM, 35, FALSE) / VLOOKUP("buildings|SO2|Minor restricted activity days", US_national_yearly!$D:$AM, 10, FALSE), 1)</f>
        <v>0.33504684288893921</v>
      </c>
      <c r="AB14" s="7">
        <f>$B14 * IFERROR(VLOOKUP("buildings|SO2|Minor restricted activity days", US_national_yearly!$D:$AM, 36, FALSE) / VLOOKUP("buildings|SO2|Minor restricted activity days", US_national_yearly!$D:$AM, 10, FALSE), 1)</f>
        <v>0.33727644348555924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4.8430734977663481E-2</v>
      </c>
      <c r="C15" s="7">
        <f>$B15 * IFERROR(VLOOKUP("buildings|SO2|Work loss days", US_national_yearly!$D:$AM, 11, FALSE) / VLOOKUP("buildings|SO2|Work loss days", US_national_yearly!$D:$AM, 10, FALSE), 1)</f>
        <v>4.8588085646895672E-2</v>
      </c>
      <c r="D15" s="7">
        <f>$B15 * IFERROR(VLOOKUP("buildings|SO2|Work loss days", US_national_yearly!$D:$AM, 12, FALSE) / VLOOKUP("buildings|SO2|Work loss days", US_national_yearly!$D:$AM, 10, FALSE), 1)</f>
        <v>4.8745436316127863E-2</v>
      </c>
      <c r="E15" s="7">
        <f>$B15 * IFERROR(VLOOKUP("buildings|SO2|Work loss days", US_national_yearly!$D:$AM, 13, FALSE) / VLOOKUP("buildings|SO2|Work loss days", US_national_yearly!$D:$AM, 10, FALSE), 1)</f>
        <v>4.8902786985360047E-2</v>
      </c>
      <c r="F15" s="7">
        <f>$B15 * IFERROR(VLOOKUP("buildings|SO2|Work loss days", US_national_yearly!$D:$AM, 14, FALSE) / VLOOKUP("buildings|SO2|Work loss days", US_national_yearly!$D:$AM, 10, FALSE), 1)</f>
        <v>4.9060137654592231E-2</v>
      </c>
      <c r="G15" s="7">
        <f>$B15 * IFERROR(VLOOKUP("buildings|SO2|Work loss days", US_national_yearly!$D:$AM, 15, FALSE) / VLOOKUP("buildings|SO2|Work loss days", US_national_yearly!$D:$AM, 10, FALSE), 1)</f>
        <v>4.9265646336178512E-2</v>
      </c>
      <c r="H15" s="7">
        <f>$B15 * IFERROR(VLOOKUP("buildings|SO2|Work loss days", US_national_yearly!$D:$AM, 16, FALSE) / VLOOKUP("buildings|SO2|Work loss days", US_national_yearly!$D:$AM, 10, FALSE), 1)</f>
        <v>4.9471155017764813E-2</v>
      </c>
      <c r="I15" s="7">
        <f>$B15 * IFERROR(VLOOKUP("buildings|SO2|Work loss days", US_national_yearly!$D:$AM, 17, FALSE) / VLOOKUP("buildings|SO2|Work loss days", US_national_yearly!$D:$AM, 10, FALSE), 1)</f>
        <v>4.9771620213010057E-2</v>
      </c>
      <c r="J15" s="7">
        <f>$B15 * IFERROR(VLOOKUP("buildings|SO2|Work loss days", US_national_yearly!$D:$AM, 18, FALSE) / VLOOKUP("buildings|SO2|Work loss days", US_national_yearly!$D:$AM, 10, FALSE), 1)</f>
        <v>5.0072085408255286E-2</v>
      </c>
      <c r="K15" s="7">
        <f>$B15 * IFERROR(VLOOKUP("buildings|SO2|Work loss days", US_national_yearly!$D:$AM, 19, FALSE) / VLOOKUP("buildings|SO2|Work loss days", US_national_yearly!$D:$AM, 10, FALSE), 1)</f>
        <v>5.0372550603500536E-2</v>
      </c>
      <c r="L15" s="7">
        <f>$B15 * IFERROR(VLOOKUP("buildings|SO2|Work loss days", US_national_yearly!$D:$AM, 20, FALSE) / VLOOKUP("buildings|SO2|Work loss days", US_national_yearly!$D:$AM, 10, FALSE), 1)</f>
        <v>5.0673015798745766E-2</v>
      </c>
      <c r="M15" s="7">
        <f>$B15 * IFERROR(VLOOKUP("buildings|SO2|Work loss days", US_national_yearly!$D:$AM, 21, FALSE) / VLOOKUP("buildings|SO2|Work loss days", US_national_yearly!$D:$AM, 10, FALSE), 1)</f>
        <v>5.0973480993991002E-2</v>
      </c>
      <c r="N15" s="7">
        <f>$B15 * IFERROR(VLOOKUP("buildings|SO2|Work loss days", US_national_yearly!$D:$AM, 22, FALSE) / VLOOKUP("buildings|SO2|Work loss days", US_national_yearly!$D:$AM, 10, FALSE), 1)</f>
        <v>5.1350259426822482E-2</v>
      </c>
      <c r="O15" s="7">
        <f>$B15 * IFERROR(VLOOKUP("buildings|SO2|Work loss days", US_national_yearly!$D:$AM, 23, FALSE) / VLOOKUP("buildings|SO2|Work loss days", US_national_yearly!$D:$AM, 10, FALSE), 1)</f>
        <v>5.1727037859653956E-2</v>
      </c>
      <c r="P15" s="7">
        <f>$B15 * IFERROR(VLOOKUP("buildings|SO2|Work loss days", US_national_yearly!$D:$AM, 24, FALSE) / VLOOKUP("buildings|SO2|Work loss days", US_national_yearly!$D:$AM, 10, FALSE), 1)</f>
        <v>5.2103816292485429E-2</v>
      </c>
      <c r="Q15" s="7">
        <f>$B15 * IFERROR(VLOOKUP("buildings|SO2|Work loss days", US_national_yearly!$D:$AM, 25, FALSE) / VLOOKUP("buildings|SO2|Work loss days", US_national_yearly!$D:$AM, 10, FALSE), 1)</f>
        <v>5.2480594725316909E-2</v>
      </c>
      <c r="R15" s="7">
        <f>$B15 * IFERROR(VLOOKUP("buildings|SO2|Work loss days", US_national_yearly!$D:$AM, 26, FALSE) / VLOOKUP("buildings|SO2|Work loss days", US_national_yearly!$D:$AM, 10, FALSE), 1)</f>
        <v>5.2857373158148369E-2</v>
      </c>
      <c r="S15" s="7">
        <f>$B15 * IFERROR(VLOOKUP("buildings|SO2|Work loss days", US_national_yearly!$D:$AM, 27, FALSE) / VLOOKUP("buildings|SO2|Work loss days", US_national_yearly!$D:$AM, 10, FALSE), 1)</f>
        <v>5.3278267671349029E-2</v>
      </c>
      <c r="T15" s="7">
        <f>$B15 * IFERROR(VLOOKUP("buildings|SO2|Work loss days", US_national_yearly!$D:$AM, 28, FALSE) / VLOOKUP("buildings|SO2|Work loss days", US_national_yearly!$D:$AM, 10, FALSE), 1)</f>
        <v>5.369916218454969E-2</v>
      </c>
      <c r="U15" s="7">
        <f>$B15 * IFERROR(VLOOKUP("buildings|SO2|Work loss days", US_national_yearly!$D:$AM, 29, FALSE) / VLOOKUP("buildings|SO2|Work loss days", US_national_yearly!$D:$AM, 10, FALSE), 1)</f>
        <v>5.4120056697750343E-2</v>
      </c>
      <c r="V15" s="7">
        <f>$B15 * IFERROR(VLOOKUP("buildings|SO2|Work loss days", US_national_yearly!$D:$AM, 30, FALSE) / VLOOKUP("buildings|SO2|Work loss days", US_national_yearly!$D:$AM, 10, FALSE), 1)</f>
        <v>5.4540951210950997E-2</v>
      </c>
      <c r="W15" s="7">
        <f>$B15 * IFERROR(VLOOKUP("buildings|SO2|Work loss days", US_national_yearly!$D:$AM, 31, FALSE) / VLOOKUP("buildings|SO2|Work loss days", US_national_yearly!$D:$AM, 10, FALSE), 1)</f>
        <v>5.4961845724151658E-2</v>
      </c>
      <c r="X15" s="7">
        <f>$B15 * IFERROR(VLOOKUP("buildings|SO2|Work loss days", US_national_yearly!$D:$AM, 32, FALSE) / VLOOKUP("buildings|SO2|Work loss days", US_national_yearly!$D:$AM, 10, FALSE), 1)</f>
        <v>5.5339759384507192E-2</v>
      </c>
      <c r="Y15" s="7">
        <f>$B15 * IFERROR(VLOOKUP("buildings|SO2|Work loss days", US_national_yearly!$D:$AM, 33, FALSE) / VLOOKUP("buildings|SO2|Work loss days", US_national_yearly!$D:$AM, 10, FALSE), 1)</f>
        <v>5.5717673044862727E-2</v>
      </c>
      <c r="Z15" s="7">
        <f>$B15 * IFERROR(VLOOKUP("buildings|SO2|Work loss days", US_national_yearly!$D:$AM, 34, FALSE) / VLOOKUP("buildings|SO2|Work loss days", US_national_yearly!$D:$AM, 10, FALSE), 1)</f>
        <v>5.6095586705218248E-2</v>
      </c>
      <c r="AA15" s="7">
        <f>$B15 * IFERROR(VLOOKUP("buildings|SO2|Work loss days", US_national_yearly!$D:$AM, 35, FALSE) / VLOOKUP("buildings|SO2|Work loss days", US_national_yearly!$D:$AM, 10, FALSE), 1)</f>
        <v>5.6473500365573789E-2</v>
      </c>
      <c r="AB15" s="7">
        <f>$B15 * IFERROR(VLOOKUP("buildings|SO2|Work loss days", US_national_yearly!$D:$AM, 36, FALSE) / VLOOKUP("buildings|SO2|Work loss days", US_national_yearly!$D:$AM, 10, FALSE), 1)</f>
        <v>5.685141402592931E-2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1.1810501100197668E-4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1.2167761181988739E-4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1.2525021263779811E-4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1.2882281345570886E-4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1.3239541427361955E-4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1.358177518630088E-4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1.3924008945239799E-4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1.4217302587229456E-4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1.4510596229219108E-4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1.4803889871208765E-4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1.5097183513198423E-4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1.5390477155188074E-4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1.5587417957853338E-4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1.5784358760518601E-4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1.5981299563183865E-4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1.6178240365849128E-4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1.6375181168514391E-4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1.6478748176316677E-4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1.6582315184118966E-4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1.6685882191921249E-4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1.6789449199723538E-4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1.6893016207525821E-4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1.6962561686088124E-4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1.7032107164650427E-4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1.7101652643212726E-4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1.7171198121775029E-4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1.7240743600337329E-4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6.2696890694473421E-3</v>
      </c>
      <c r="C2" s="7">
        <f>$B2 * IFERROR(VLOOKUP("industry|PM25|Premature mortality", US_national_yearly!$D:$AM, 11, FALSE) / VLOOKUP("industry|PM25|Premature mortality", US_national_yearly!$D:$AM, 10, FALSE), 1)</f>
        <v>6.347767187044117E-3</v>
      </c>
      <c r="D2" s="7">
        <f>$B2 * IFERROR(VLOOKUP("industry|PM25|Premature mortality", US_national_yearly!$D:$AM, 12, FALSE) / VLOOKUP("industry|PM25|Premature mortality", US_national_yearly!$D:$AM, 10, FALSE), 1)</f>
        <v>6.4258453046408901E-3</v>
      </c>
      <c r="E2" s="7">
        <f>$B2 * IFERROR(VLOOKUP("industry|PM25|Premature mortality", US_national_yearly!$D:$AM, 13, FALSE) / VLOOKUP("industry|PM25|Premature mortality", US_national_yearly!$D:$AM, 10, FALSE), 1)</f>
        <v>6.5039234222376641E-3</v>
      </c>
      <c r="F2" s="7">
        <f>$B2 * IFERROR(VLOOKUP("industry|PM25|Premature mortality", US_national_yearly!$D:$AM, 14, FALSE) / VLOOKUP("industry|PM25|Premature mortality", US_national_yearly!$D:$AM, 10, FALSE), 1)</f>
        <v>6.5820015398344372E-3</v>
      </c>
      <c r="G2" s="7">
        <f>$B2 * IFERROR(VLOOKUP("industry|PM25|Premature mortality", US_national_yearly!$D:$AM, 15, FALSE) / VLOOKUP("industry|PM25|Premature mortality", US_national_yearly!$D:$AM, 10, FALSE), 1)</f>
        <v>6.7339013048747362E-3</v>
      </c>
      <c r="H2" s="7">
        <f>$B2 * IFERROR(VLOOKUP("industry|PM25|Premature mortality", US_national_yearly!$D:$AM, 16, FALSE) / VLOOKUP("industry|PM25|Premature mortality", US_national_yearly!$D:$AM, 10, FALSE), 1)</f>
        <v>6.885801069915036E-3</v>
      </c>
      <c r="I2" s="7">
        <f>$B2 * IFERROR(VLOOKUP("industry|PM25|Premature mortality", US_national_yearly!$D:$AM, 17, FALSE) / VLOOKUP("industry|PM25|Premature mortality", US_national_yearly!$D:$AM, 10, FALSE), 1)</f>
        <v>6.9860999798071269E-3</v>
      </c>
      <c r="J2" s="7">
        <f>$B2 * IFERROR(VLOOKUP("industry|PM25|Premature mortality", US_national_yearly!$D:$AM, 18, FALSE) / VLOOKUP("industry|PM25|Premature mortality", US_national_yearly!$D:$AM, 10, FALSE), 1)</f>
        <v>7.086398889699216E-3</v>
      </c>
      <c r="K2" s="7">
        <f>$B2 * IFERROR(VLOOKUP("industry|PM25|Premature mortality", US_national_yearly!$D:$AM, 19, FALSE) / VLOOKUP("industry|PM25|Premature mortality", US_national_yearly!$D:$AM, 10, FALSE), 1)</f>
        <v>7.1866977995913061E-3</v>
      </c>
      <c r="L2" s="7">
        <f>$B2 * IFERROR(VLOOKUP("industry|PM25|Premature mortality", US_national_yearly!$D:$AM, 20, FALSE) / VLOOKUP("industry|PM25|Premature mortality", US_national_yearly!$D:$AM, 10, FALSE), 1)</f>
        <v>7.2869967094833952E-3</v>
      </c>
      <c r="M2" s="7">
        <f>$B2 * IFERROR(VLOOKUP("industry|PM25|Premature mortality", US_national_yearly!$D:$AM, 21, FALSE) / VLOOKUP("industry|PM25|Premature mortality", US_national_yearly!$D:$AM, 10, FALSE), 1)</f>
        <v>7.3872956193754861E-3</v>
      </c>
      <c r="N2" s="7">
        <f>$B2 * IFERROR(VLOOKUP("industry|PM25|Premature mortality", US_national_yearly!$D:$AM, 22, FALSE) / VLOOKUP("industry|PM25|Premature mortality", US_national_yearly!$D:$AM, 10, FALSE), 1)</f>
        <v>7.4654370454238323E-3</v>
      </c>
      <c r="O2" s="7">
        <f>$B2 * IFERROR(VLOOKUP("industry|PM25|Premature mortality", US_national_yearly!$D:$AM, 23, FALSE) / VLOOKUP("industry|PM25|Premature mortality", US_national_yearly!$D:$AM, 10, FALSE), 1)</f>
        <v>7.5435784714721768E-3</v>
      </c>
      <c r="P2" s="7">
        <f>$B2 * IFERROR(VLOOKUP("industry|PM25|Premature mortality", US_national_yearly!$D:$AM, 24, FALSE) / VLOOKUP("industry|PM25|Premature mortality", US_national_yearly!$D:$AM, 10, FALSE), 1)</f>
        <v>7.6217198975205222E-3</v>
      </c>
      <c r="Q2" s="7">
        <f>$B2 * IFERROR(VLOOKUP("industry|PM25|Premature mortality", US_national_yearly!$D:$AM, 25, FALSE) / VLOOKUP("industry|PM25|Premature mortality", US_national_yearly!$D:$AM, 10, FALSE), 1)</f>
        <v>7.6998613235688684E-3</v>
      </c>
      <c r="R2" s="7">
        <f>$B2 * IFERROR(VLOOKUP("industry|PM25|Premature mortality", US_national_yearly!$D:$AM, 26, FALSE) / VLOOKUP("industry|PM25|Premature mortality", US_national_yearly!$D:$AM, 10, FALSE), 1)</f>
        <v>7.7780027496172129E-3</v>
      </c>
      <c r="S2" s="7">
        <f>$B2 * IFERROR(VLOOKUP("industry|PM25|Premature mortality", US_national_yearly!$D:$AM, 27, FALSE) / VLOOKUP("industry|PM25|Premature mortality", US_national_yearly!$D:$AM, 10, FALSE), 1)</f>
        <v>7.8201962214394429E-3</v>
      </c>
      <c r="T2" s="7">
        <f>$B2 * IFERROR(VLOOKUP("industry|PM25|Premature mortality", US_national_yearly!$D:$AM, 28, FALSE) / VLOOKUP("industry|PM25|Premature mortality", US_national_yearly!$D:$AM, 10, FALSE), 1)</f>
        <v>7.8623896932616712E-3</v>
      </c>
      <c r="U2" s="7">
        <f>$B2 * IFERROR(VLOOKUP("industry|PM25|Premature mortality", US_national_yearly!$D:$AM, 29, FALSE) / VLOOKUP("industry|PM25|Premature mortality", US_national_yearly!$D:$AM, 10, FALSE), 1)</f>
        <v>7.9045831650839046E-3</v>
      </c>
      <c r="V2" s="7">
        <f>$B2 * IFERROR(VLOOKUP("industry|PM25|Premature mortality", US_national_yearly!$D:$AM, 30, FALSE) / VLOOKUP("industry|PM25|Premature mortality", US_national_yearly!$D:$AM, 10, FALSE), 1)</f>
        <v>7.9467766369061329E-3</v>
      </c>
      <c r="W2" s="7">
        <f>$B2 * IFERROR(VLOOKUP("industry|PM25|Premature mortality", US_national_yearly!$D:$AM, 31, FALSE) / VLOOKUP("industry|PM25|Premature mortality", US_national_yearly!$D:$AM, 10, FALSE), 1)</f>
        <v>7.9889701087283629E-3</v>
      </c>
      <c r="X2" s="7">
        <f>$B2 * IFERROR(VLOOKUP("industry|PM25|Premature mortality", US_national_yearly!$D:$AM, 32, FALSE) / VLOOKUP("industry|PM25|Premature mortality", US_national_yearly!$D:$AM, 10, FALSE), 1)</f>
        <v>7.9976815817513446E-3</v>
      </c>
      <c r="Y2" s="7">
        <f>$B2 * IFERROR(VLOOKUP("industry|PM25|Premature mortality", US_national_yearly!$D:$AM, 33, FALSE) / VLOOKUP("industry|PM25|Premature mortality", US_national_yearly!$D:$AM, 10, FALSE), 1)</f>
        <v>8.0063930547743297E-3</v>
      </c>
      <c r="Z2" s="7">
        <f>$B2 * IFERROR(VLOOKUP("industry|PM25|Premature mortality", US_national_yearly!$D:$AM, 34, FALSE) / VLOOKUP("industry|PM25|Premature mortality", US_national_yearly!$D:$AM, 10, FALSE), 1)</f>
        <v>8.0151045277973114E-3</v>
      </c>
      <c r="AA2" s="7">
        <f>$B2 * IFERROR(VLOOKUP("industry|PM25|Premature mortality", US_national_yearly!$D:$AM, 35, FALSE) / VLOOKUP("industry|PM25|Premature mortality", US_national_yearly!$D:$AM, 10, FALSE), 1)</f>
        <v>8.0238160008202948E-3</v>
      </c>
      <c r="AB2" s="7">
        <f>$B2 * IFERROR(VLOOKUP("industry|PM25|Premature mortality", US_national_yearly!$D:$AM, 36, FALSE) / VLOOKUP("industry|PM25|Premature mortality", US_national_yearly!$D:$AM, 10, FALSE), 1)</f>
        <v>8.0325274738432782E-3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1.8121328013414175E-5</v>
      </c>
      <c r="C3" s="7">
        <f>$B3 * IFERROR(VLOOKUP("industry|PM25|Infant mortality", US_national_yearly!$D:$AM, 11, FALSE) / VLOOKUP("industry|PM25|Infant mortality", US_national_yearly!$D:$AM, 10, FALSE), 1)</f>
        <v>1.7963548349456239E-5</v>
      </c>
      <c r="D3" s="7">
        <f>$B3 * IFERROR(VLOOKUP("industry|PM25|Infant mortality", US_national_yearly!$D:$AM, 12, FALSE) / VLOOKUP("industry|PM25|Infant mortality", US_national_yearly!$D:$AM, 10, FALSE), 1)</f>
        <v>1.78057686854983E-5</v>
      </c>
      <c r="E3" s="7">
        <f>$B3 * IFERROR(VLOOKUP("industry|PM25|Infant mortality", US_national_yearly!$D:$AM, 13, FALSE) / VLOOKUP("industry|PM25|Infant mortality", US_national_yearly!$D:$AM, 10, FALSE), 1)</f>
        <v>1.7647989021540361E-5</v>
      </c>
      <c r="F3" s="7">
        <f>$B3 * IFERROR(VLOOKUP("industry|PM25|Infant mortality", US_national_yearly!$D:$AM, 14, FALSE) / VLOOKUP("industry|PM25|Infant mortality", US_national_yearly!$D:$AM, 10, FALSE), 1)</f>
        <v>1.7490209357582425E-5</v>
      </c>
      <c r="G3" s="7">
        <f>$B3 * IFERROR(VLOOKUP("industry|PM25|Infant mortality", US_national_yearly!$D:$AM, 15, FALSE) / VLOOKUP("industry|PM25|Infant mortality", US_national_yearly!$D:$AM, 10, FALSE), 1)</f>
        <v>1.162110730665661E-5</v>
      </c>
      <c r="H3" s="7">
        <f>$B3 * IFERROR(VLOOKUP("industry|PM25|Infant mortality", US_national_yearly!$D:$AM, 16, FALSE) / VLOOKUP("industry|PM25|Infant mortality", US_national_yearly!$D:$AM, 10, FALSE), 1)</f>
        <v>5.7520052557307949E-6</v>
      </c>
      <c r="I3" s="7">
        <f>$B3 * IFERROR(VLOOKUP("industry|PM25|Infant mortality", US_national_yearly!$D:$AM, 17, FALSE) / VLOOKUP("industry|PM25|Infant mortality", US_national_yearly!$D:$AM, 10, FALSE), 1)</f>
        <v>5.713719987474179E-6</v>
      </c>
      <c r="J3" s="7">
        <f>$B3 * IFERROR(VLOOKUP("industry|PM25|Infant mortality", US_national_yearly!$D:$AM, 18, FALSE) / VLOOKUP("industry|PM25|Infant mortality", US_national_yearly!$D:$AM, 10, FALSE), 1)</f>
        <v>5.6754347192175631E-6</v>
      </c>
      <c r="K3" s="7">
        <f>$B3 * IFERROR(VLOOKUP("industry|PM25|Infant mortality", US_national_yearly!$D:$AM, 19, FALSE) / VLOOKUP("industry|PM25|Infant mortality", US_national_yearly!$D:$AM, 10, FALSE), 1)</f>
        <v>5.6371494509609472E-6</v>
      </c>
      <c r="L3" s="7">
        <f>$B3 * IFERROR(VLOOKUP("industry|PM25|Infant mortality", US_national_yearly!$D:$AM, 20, FALSE) / VLOOKUP("industry|PM25|Infant mortality", US_national_yearly!$D:$AM, 10, FALSE), 1)</f>
        <v>5.5988641827043305E-6</v>
      </c>
      <c r="M3" s="7">
        <f>$B3 * IFERROR(VLOOKUP("industry|PM25|Infant mortality", US_national_yearly!$D:$AM, 21, FALSE) / VLOOKUP("industry|PM25|Infant mortality", US_national_yearly!$D:$AM, 10, FALSE), 1)</f>
        <v>5.5605789144477163E-6</v>
      </c>
      <c r="N3" s="7">
        <f>$B3 * IFERROR(VLOOKUP("industry|PM25|Infant mortality", US_national_yearly!$D:$AM, 22, FALSE) / VLOOKUP("industry|PM25|Infant mortality", US_national_yearly!$D:$AM, 10, FALSE), 1)</f>
        <v>5.5361491851137026E-6</v>
      </c>
      <c r="O3" s="7">
        <f>$B3 * IFERROR(VLOOKUP("industry|PM25|Infant mortality", US_national_yearly!$D:$AM, 23, FALSE) / VLOOKUP("industry|PM25|Infant mortality", US_national_yearly!$D:$AM, 10, FALSE), 1)</f>
        <v>5.5117194557796896E-6</v>
      </c>
      <c r="P3" s="7">
        <f>$B3 * IFERROR(VLOOKUP("industry|PM25|Infant mortality", US_national_yearly!$D:$AM, 24, FALSE) / VLOOKUP("industry|PM25|Infant mortality", US_national_yearly!$D:$AM, 10, FALSE), 1)</f>
        <v>5.4872897264456776E-6</v>
      </c>
      <c r="Q3" s="7">
        <f>$B3 * IFERROR(VLOOKUP("industry|PM25|Infant mortality", US_national_yearly!$D:$AM, 25, FALSE) / VLOOKUP("industry|PM25|Infant mortality", US_national_yearly!$D:$AM, 10, FALSE), 1)</f>
        <v>5.4628599971116655E-6</v>
      </c>
      <c r="R3" s="7">
        <f>$B3 * IFERROR(VLOOKUP("industry|PM25|Infant mortality", US_national_yearly!$D:$AM, 26, FALSE) / VLOOKUP("industry|PM25|Infant mortality", US_national_yearly!$D:$AM, 10, FALSE), 1)</f>
        <v>5.4384302677776526E-6</v>
      </c>
      <c r="S3" s="7">
        <f>$B3 * IFERROR(VLOOKUP("industry|PM25|Infant mortality", US_national_yearly!$D:$AM, 27, FALSE) / VLOOKUP("industry|PM25|Infant mortality", US_national_yearly!$D:$AM, 10, FALSE), 1)</f>
        <v>5.4083839064661083E-6</v>
      </c>
      <c r="T3" s="7">
        <f>$B3 * IFERROR(VLOOKUP("industry|PM25|Infant mortality", US_national_yearly!$D:$AM, 28, FALSE) / VLOOKUP("industry|PM25|Infant mortality", US_national_yearly!$D:$AM, 10, FALSE), 1)</f>
        <v>5.378337545154564E-6</v>
      </c>
      <c r="U3" s="7">
        <f>$B3 * IFERROR(VLOOKUP("industry|PM25|Infant mortality", US_national_yearly!$D:$AM, 29, FALSE) / VLOOKUP("industry|PM25|Infant mortality", US_national_yearly!$D:$AM, 10, FALSE), 1)</f>
        <v>5.3482911838430197E-6</v>
      </c>
      <c r="V3" s="7">
        <f>$B3 * IFERROR(VLOOKUP("industry|PM25|Infant mortality", US_national_yearly!$D:$AM, 30, FALSE) / VLOOKUP("industry|PM25|Infant mortality", US_national_yearly!$D:$AM, 10, FALSE), 1)</f>
        <v>5.3182448225314763E-6</v>
      </c>
      <c r="W3" s="7">
        <f>$B3 * IFERROR(VLOOKUP("industry|PM25|Infant mortality", US_national_yearly!$D:$AM, 31, FALSE) / VLOOKUP("industry|PM25|Infant mortality", US_national_yearly!$D:$AM, 10, FALSE), 1)</f>
        <v>5.2881984612199328E-6</v>
      </c>
      <c r="X3" s="7">
        <f>$B3 * IFERROR(VLOOKUP("industry|PM25|Infant mortality", US_national_yearly!$D:$AM, 32, FALSE) / VLOOKUP("industry|PM25|Infant mortality", US_national_yearly!$D:$AM, 10, FALSE), 1)</f>
        <v>5.256090159245177E-6</v>
      </c>
      <c r="Y3" s="7">
        <f>$B3 * IFERROR(VLOOKUP("industry|PM25|Infant mortality", US_national_yearly!$D:$AM, 33, FALSE) / VLOOKUP("industry|PM25|Infant mortality", US_national_yearly!$D:$AM, 10, FALSE), 1)</f>
        <v>5.2239818572704221E-6</v>
      </c>
      <c r="Z3" s="7">
        <f>$B3 * IFERROR(VLOOKUP("industry|PM25|Infant mortality", US_national_yearly!$D:$AM, 34, FALSE) / VLOOKUP("industry|PM25|Infant mortality", US_national_yearly!$D:$AM, 10, FALSE), 1)</f>
        <v>5.1918735552956663E-6</v>
      </c>
      <c r="AA3" s="7">
        <f>$B3 * IFERROR(VLOOKUP("industry|PM25|Infant mortality", US_national_yearly!$D:$AM, 35, FALSE) / VLOOKUP("industry|PM25|Infant mortality", US_national_yearly!$D:$AM, 10, FALSE), 1)</f>
        <v>5.1597652533209113E-6</v>
      </c>
      <c r="AB3" s="7">
        <f>$B3 * IFERROR(VLOOKUP("industry|PM25|Infant mortality", US_national_yearly!$D:$AM, 36, FALSE) / VLOOKUP("industry|PM25|Infant mortality", US_national_yearly!$D:$AM, 10, FALSE), 1)</f>
        <v>5.1276569513461564E-6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1.492621207899523E-2</v>
      </c>
      <c r="C6" s="7">
        <f>$B6 * IFERROR(VLOOKUP("industry|PM25|Asthma symptoms cough", US_national_yearly!$D:$AM, 11, FALSE) / VLOOKUP("industry|PM25|Asthma symptoms cough", US_national_yearly!$D:$AM, 10, FALSE), 1)</f>
        <v>1.492621207899523E-2</v>
      </c>
      <c r="D6" s="7">
        <f>$B6 * IFERROR(VLOOKUP("industry|PM25|Asthma symptoms cough", US_national_yearly!$D:$AM, 12, FALSE) / VLOOKUP("industry|PM25|Asthma symptoms cough", US_national_yearly!$D:$AM, 10, FALSE), 1)</f>
        <v>1.492621207899523E-2</v>
      </c>
      <c r="E6" s="7">
        <f>$B6 * IFERROR(VLOOKUP("industry|PM25|Asthma symptoms cough", US_national_yearly!$D:$AM, 13, FALSE) / VLOOKUP("industry|PM25|Asthma symptoms cough", US_national_yearly!$D:$AM, 10, FALSE), 1)</f>
        <v>1.492621207899523E-2</v>
      </c>
      <c r="F6" s="7">
        <f>$B6 * IFERROR(VLOOKUP("industry|PM25|Asthma symptoms cough", US_national_yearly!$D:$AM, 14, FALSE) / VLOOKUP("industry|PM25|Asthma symptoms cough", US_national_yearly!$D:$AM, 10, FALSE), 1)</f>
        <v>1.492621207899523E-2</v>
      </c>
      <c r="G6" s="7">
        <f>$B6 * IFERROR(VLOOKUP("industry|PM25|Asthma symptoms cough", US_national_yearly!$D:$AM, 15, FALSE) / VLOOKUP("industry|PM25|Asthma symptoms cough", US_national_yearly!$D:$AM, 10, FALSE), 1)</f>
        <v>1.492621207899523E-2</v>
      </c>
      <c r="H6" s="7">
        <f>$B6 * IFERROR(VLOOKUP("industry|PM25|Asthma symptoms cough", US_national_yearly!$D:$AM, 16, FALSE) / VLOOKUP("industry|PM25|Asthma symptoms cough", US_national_yearly!$D:$AM, 10, FALSE), 1)</f>
        <v>1.492621207899523E-2</v>
      </c>
      <c r="I6" s="7">
        <f>$B6 * IFERROR(VLOOKUP("industry|PM25|Asthma symptoms cough", US_national_yearly!$D:$AM, 17, FALSE) / VLOOKUP("industry|PM25|Asthma symptoms cough", US_national_yearly!$D:$AM, 10, FALSE), 1)</f>
        <v>1.492621207899523E-2</v>
      </c>
      <c r="J6" s="7">
        <f>$B6 * IFERROR(VLOOKUP("industry|PM25|Asthma symptoms cough", US_national_yearly!$D:$AM, 18, FALSE) / VLOOKUP("industry|PM25|Asthma symptoms cough", US_national_yearly!$D:$AM, 10, FALSE), 1)</f>
        <v>1.492621207899523E-2</v>
      </c>
      <c r="K6" s="7">
        <f>$B6 * IFERROR(VLOOKUP("industry|PM25|Asthma symptoms cough", US_national_yearly!$D:$AM, 19, FALSE) / VLOOKUP("industry|PM25|Asthma symptoms cough", US_national_yearly!$D:$AM, 10, FALSE), 1)</f>
        <v>1.492621207899523E-2</v>
      </c>
      <c r="L6" s="7">
        <f>$B6 * IFERROR(VLOOKUP("industry|PM25|Asthma symptoms cough", US_national_yearly!$D:$AM, 20, FALSE) / VLOOKUP("industry|PM25|Asthma symptoms cough", US_national_yearly!$D:$AM, 10, FALSE), 1)</f>
        <v>1.492621207899523E-2</v>
      </c>
      <c r="M6" s="7">
        <f>$B6 * IFERROR(VLOOKUP("industry|PM25|Asthma symptoms cough", US_national_yearly!$D:$AM, 21, FALSE) / VLOOKUP("industry|PM25|Asthma symptoms cough", US_national_yearly!$D:$AM, 10, FALSE), 1)</f>
        <v>1.492621207899523E-2</v>
      </c>
      <c r="N6" s="7">
        <f>$B6 * IFERROR(VLOOKUP("industry|PM25|Asthma symptoms cough", US_national_yearly!$D:$AM, 22, FALSE) / VLOOKUP("industry|PM25|Asthma symptoms cough", US_national_yearly!$D:$AM, 10, FALSE), 1)</f>
        <v>1.492621207899523E-2</v>
      </c>
      <c r="O6" s="7">
        <f>$B6 * IFERROR(VLOOKUP("industry|PM25|Asthma symptoms cough", US_national_yearly!$D:$AM, 23, FALSE) / VLOOKUP("industry|PM25|Asthma symptoms cough", US_national_yearly!$D:$AM, 10, FALSE), 1)</f>
        <v>1.492621207899523E-2</v>
      </c>
      <c r="P6" s="7">
        <f>$B6 * IFERROR(VLOOKUP("industry|PM25|Asthma symptoms cough", US_national_yearly!$D:$AM, 24, FALSE) / VLOOKUP("industry|PM25|Asthma symptoms cough", US_national_yearly!$D:$AM, 10, FALSE), 1)</f>
        <v>1.492621207899523E-2</v>
      </c>
      <c r="Q6" s="7">
        <f>$B6 * IFERROR(VLOOKUP("industry|PM25|Asthma symptoms cough", US_national_yearly!$D:$AM, 25, FALSE) / VLOOKUP("industry|PM25|Asthma symptoms cough", US_national_yearly!$D:$AM, 10, FALSE), 1)</f>
        <v>1.492621207899523E-2</v>
      </c>
      <c r="R6" s="7">
        <f>$B6 * IFERROR(VLOOKUP("industry|PM25|Asthma symptoms cough", US_national_yearly!$D:$AM, 26, FALSE) / VLOOKUP("industry|PM25|Asthma symptoms cough", US_national_yearly!$D:$AM, 10, FALSE), 1)</f>
        <v>1.492621207899523E-2</v>
      </c>
      <c r="S6" s="7">
        <f>$B6 * IFERROR(VLOOKUP("industry|PM25|Asthma symptoms cough", US_national_yearly!$D:$AM, 27, FALSE) / VLOOKUP("industry|PM25|Asthma symptoms cough", US_national_yearly!$D:$AM, 10, FALSE), 1)</f>
        <v>1.492621207899523E-2</v>
      </c>
      <c r="T6" s="7">
        <f>$B6 * IFERROR(VLOOKUP("industry|PM25|Asthma symptoms cough", US_national_yearly!$D:$AM, 28, FALSE) / VLOOKUP("industry|PM25|Asthma symptoms cough", US_national_yearly!$D:$AM, 10, FALSE), 1)</f>
        <v>1.492621207899523E-2</v>
      </c>
      <c r="U6" s="7">
        <f>$B6 * IFERROR(VLOOKUP("industry|PM25|Asthma symptoms cough", US_national_yearly!$D:$AM, 29, FALSE) / VLOOKUP("industry|PM25|Asthma symptoms cough", US_national_yearly!$D:$AM, 10, FALSE), 1)</f>
        <v>1.492621207899523E-2</v>
      </c>
      <c r="V6" s="7">
        <f>$B6 * IFERROR(VLOOKUP("industry|PM25|Asthma symptoms cough", US_national_yearly!$D:$AM, 30, FALSE) / VLOOKUP("industry|PM25|Asthma symptoms cough", US_national_yearly!$D:$AM, 10, FALSE), 1)</f>
        <v>1.492621207899523E-2</v>
      </c>
      <c r="W6" s="7">
        <f>$B6 * IFERROR(VLOOKUP("industry|PM25|Asthma symptoms cough", US_national_yearly!$D:$AM, 31, FALSE) / VLOOKUP("industry|PM25|Asthma symptoms cough", US_national_yearly!$D:$AM, 10, FALSE), 1)</f>
        <v>1.492621207899523E-2</v>
      </c>
      <c r="X6" s="7">
        <f>$B6 * IFERROR(VLOOKUP("industry|PM25|Asthma symptoms cough", US_national_yearly!$D:$AM, 32, FALSE) / VLOOKUP("industry|PM25|Asthma symptoms cough", US_national_yearly!$D:$AM, 10, FALSE), 1)</f>
        <v>1.492621207899523E-2</v>
      </c>
      <c r="Y6" s="7">
        <f>$B6 * IFERROR(VLOOKUP("industry|PM25|Asthma symptoms cough", US_national_yearly!$D:$AM, 33, FALSE) / VLOOKUP("industry|PM25|Asthma symptoms cough", US_national_yearly!$D:$AM, 10, FALSE), 1)</f>
        <v>1.492621207899523E-2</v>
      </c>
      <c r="Z6" s="7">
        <f>$B6 * IFERROR(VLOOKUP("industry|PM25|Asthma symptoms cough", US_national_yearly!$D:$AM, 34, FALSE) / VLOOKUP("industry|PM25|Asthma symptoms cough", US_national_yearly!$D:$AM, 10, FALSE), 1)</f>
        <v>1.492621207899523E-2</v>
      </c>
      <c r="AA6" s="7">
        <f>$B6 * IFERROR(VLOOKUP("industry|PM25|Asthma symptoms cough", US_national_yearly!$D:$AM, 35, FALSE) / VLOOKUP("industry|PM25|Asthma symptoms cough", US_national_yearly!$D:$AM, 10, FALSE), 1)</f>
        <v>1.492621207899523E-2</v>
      </c>
      <c r="AB6" s="7">
        <f>$B6 * IFERROR(VLOOKUP("industry|PM25|Asthma symptoms cough", US_national_yearly!$D:$AM, 36, FALSE) / VLOOKUP("industry|PM25|Asthma symptoms cough", US_national_yearly!$D:$AM, 10, FALSE), 1)</f>
        <v>1.492621207899523E-2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2.0099208495083305E-2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2.0099208495083305E-2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2.0099208495083305E-2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2.0099208495083305E-2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2.0099208495083305E-2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2.0099208495083305E-2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2.0099208495083305E-2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2.0099208495083305E-2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2.0099208495083305E-2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2.0099208495083305E-2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2.0099208495083305E-2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2.0099208495083305E-2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2.0099208495083305E-2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2.0099208495083305E-2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2.0099208495083305E-2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2.0099208495083305E-2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2.0099208495083305E-2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2.0099208495083305E-2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2.0099208495083305E-2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2.0099208495083305E-2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2.0099208495083305E-2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2.0099208495083305E-2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2.0099208495083305E-2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2.0099208495083305E-2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2.0099208495083305E-2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2.0099208495083305E-2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2.0099208495083305E-2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3.0712111763148576E-2</v>
      </c>
      <c r="C8" s="7">
        <f>$B8 * IFERROR(VLOOKUP("industry|PM25|Asthma symptoms wheeze", US_national_yearly!$D:$AM, 11, FALSE) / VLOOKUP("industry|PM25|Asthma symptoms wheeze", US_national_yearly!$D:$AM, 10, FALSE), 1)</f>
        <v>3.0712111763148576E-2</v>
      </c>
      <c r="D8" s="7">
        <f>$B8 * IFERROR(VLOOKUP("industry|PM25|Asthma symptoms wheeze", US_national_yearly!$D:$AM, 12, FALSE) / VLOOKUP("industry|PM25|Asthma symptoms wheeze", US_national_yearly!$D:$AM, 10, FALSE), 1)</f>
        <v>3.0712111763148576E-2</v>
      </c>
      <c r="E8" s="7">
        <f>$B8 * IFERROR(VLOOKUP("industry|PM25|Asthma symptoms wheeze", US_national_yearly!$D:$AM, 13, FALSE) / VLOOKUP("industry|PM25|Asthma symptoms wheeze", US_national_yearly!$D:$AM, 10, FALSE), 1)</f>
        <v>3.0712111763148576E-2</v>
      </c>
      <c r="F8" s="7">
        <f>$B8 * IFERROR(VLOOKUP("industry|PM25|Asthma symptoms wheeze", US_national_yearly!$D:$AM, 14, FALSE) / VLOOKUP("industry|PM25|Asthma symptoms wheeze", US_national_yearly!$D:$AM, 10, FALSE), 1)</f>
        <v>3.0712111763148576E-2</v>
      </c>
      <c r="G8" s="7">
        <f>$B8 * IFERROR(VLOOKUP("industry|PM25|Asthma symptoms wheeze", US_national_yearly!$D:$AM, 15, FALSE) / VLOOKUP("industry|PM25|Asthma symptoms wheeze", US_national_yearly!$D:$AM, 10, FALSE), 1)</f>
        <v>3.0712111763148576E-2</v>
      </c>
      <c r="H8" s="7">
        <f>$B8 * IFERROR(VLOOKUP("industry|PM25|Asthma symptoms wheeze", US_national_yearly!$D:$AM, 16, FALSE) / VLOOKUP("industry|PM25|Asthma symptoms wheeze", US_national_yearly!$D:$AM, 10, FALSE), 1)</f>
        <v>3.0712111763148576E-2</v>
      </c>
      <c r="I8" s="7">
        <f>$B8 * IFERROR(VLOOKUP("industry|PM25|Asthma symptoms wheeze", US_national_yearly!$D:$AM, 17, FALSE) / VLOOKUP("industry|PM25|Asthma symptoms wheeze", US_national_yearly!$D:$AM, 10, FALSE), 1)</f>
        <v>3.0712111763148576E-2</v>
      </c>
      <c r="J8" s="7">
        <f>$B8 * IFERROR(VLOOKUP("industry|PM25|Asthma symptoms wheeze", US_national_yearly!$D:$AM, 18, FALSE) / VLOOKUP("industry|PM25|Asthma symptoms wheeze", US_national_yearly!$D:$AM, 10, FALSE), 1)</f>
        <v>3.0712111763148576E-2</v>
      </c>
      <c r="K8" s="7">
        <f>$B8 * IFERROR(VLOOKUP("industry|PM25|Asthma symptoms wheeze", US_national_yearly!$D:$AM, 19, FALSE) / VLOOKUP("industry|PM25|Asthma symptoms wheeze", US_national_yearly!$D:$AM, 10, FALSE), 1)</f>
        <v>3.0712111763148576E-2</v>
      </c>
      <c r="L8" s="7">
        <f>$B8 * IFERROR(VLOOKUP("industry|PM25|Asthma symptoms wheeze", US_national_yearly!$D:$AM, 20, FALSE) / VLOOKUP("industry|PM25|Asthma symptoms wheeze", US_national_yearly!$D:$AM, 10, FALSE), 1)</f>
        <v>3.0712111763148576E-2</v>
      </c>
      <c r="M8" s="7">
        <f>$B8 * IFERROR(VLOOKUP("industry|PM25|Asthma symptoms wheeze", US_national_yearly!$D:$AM, 21, FALSE) / VLOOKUP("industry|PM25|Asthma symptoms wheeze", US_national_yearly!$D:$AM, 10, FALSE), 1)</f>
        <v>3.0712111763148576E-2</v>
      </c>
      <c r="N8" s="7">
        <f>$B8 * IFERROR(VLOOKUP("industry|PM25|Asthma symptoms wheeze", US_national_yearly!$D:$AM, 22, FALSE) / VLOOKUP("industry|PM25|Asthma symptoms wheeze", US_national_yearly!$D:$AM, 10, FALSE), 1)</f>
        <v>3.0712111763148576E-2</v>
      </c>
      <c r="O8" s="7">
        <f>$B8 * IFERROR(VLOOKUP("industry|PM25|Asthma symptoms wheeze", US_national_yearly!$D:$AM, 23, FALSE) / VLOOKUP("industry|PM25|Asthma symptoms wheeze", US_national_yearly!$D:$AM, 10, FALSE), 1)</f>
        <v>3.0712111763148576E-2</v>
      </c>
      <c r="P8" s="7">
        <f>$B8 * IFERROR(VLOOKUP("industry|PM25|Asthma symptoms wheeze", US_national_yearly!$D:$AM, 24, FALSE) / VLOOKUP("industry|PM25|Asthma symptoms wheeze", US_national_yearly!$D:$AM, 10, FALSE), 1)</f>
        <v>3.0712111763148576E-2</v>
      </c>
      <c r="Q8" s="7">
        <f>$B8 * IFERROR(VLOOKUP("industry|PM25|Asthma symptoms wheeze", US_national_yearly!$D:$AM, 25, FALSE) / VLOOKUP("industry|PM25|Asthma symptoms wheeze", US_national_yearly!$D:$AM, 10, FALSE), 1)</f>
        <v>3.0712111763148576E-2</v>
      </c>
      <c r="R8" s="7">
        <f>$B8 * IFERROR(VLOOKUP("industry|PM25|Asthma symptoms wheeze", US_national_yearly!$D:$AM, 26, FALSE) / VLOOKUP("industry|PM25|Asthma symptoms wheeze", US_national_yearly!$D:$AM, 10, FALSE), 1)</f>
        <v>3.0712111763148576E-2</v>
      </c>
      <c r="S8" s="7">
        <f>$B8 * IFERROR(VLOOKUP("industry|PM25|Asthma symptoms wheeze", US_national_yearly!$D:$AM, 27, FALSE) / VLOOKUP("industry|PM25|Asthma symptoms wheeze", US_national_yearly!$D:$AM, 10, FALSE), 1)</f>
        <v>3.0712111763148576E-2</v>
      </c>
      <c r="T8" s="7">
        <f>$B8 * IFERROR(VLOOKUP("industry|PM25|Asthma symptoms wheeze", US_national_yearly!$D:$AM, 28, FALSE) / VLOOKUP("industry|PM25|Asthma symptoms wheeze", US_national_yearly!$D:$AM, 10, FALSE), 1)</f>
        <v>3.0712111763148576E-2</v>
      </c>
      <c r="U8" s="7">
        <f>$B8 * IFERROR(VLOOKUP("industry|PM25|Asthma symptoms wheeze", US_national_yearly!$D:$AM, 29, FALSE) / VLOOKUP("industry|PM25|Asthma symptoms wheeze", US_national_yearly!$D:$AM, 10, FALSE), 1)</f>
        <v>3.0712111763148576E-2</v>
      </c>
      <c r="V8" s="7">
        <f>$B8 * IFERROR(VLOOKUP("industry|PM25|Asthma symptoms wheeze", US_national_yearly!$D:$AM, 30, FALSE) / VLOOKUP("industry|PM25|Asthma symptoms wheeze", US_national_yearly!$D:$AM, 10, FALSE), 1)</f>
        <v>3.0712111763148576E-2</v>
      </c>
      <c r="W8" s="7">
        <f>$B8 * IFERROR(VLOOKUP("industry|PM25|Asthma symptoms wheeze", US_national_yearly!$D:$AM, 31, FALSE) / VLOOKUP("industry|PM25|Asthma symptoms wheeze", US_national_yearly!$D:$AM, 10, FALSE), 1)</f>
        <v>3.0712111763148576E-2</v>
      </c>
      <c r="X8" s="7">
        <f>$B8 * IFERROR(VLOOKUP("industry|PM25|Asthma symptoms wheeze", US_national_yearly!$D:$AM, 32, FALSE) / VLOOKUP("industry|PM25|Asthma symptoms wheeze", US_national_yearly!$D:$AM, 10, FALSE), 1)</f>
        <v>3.0712111763148576E-2</v>
      </c>
      <c r="Y8" s="7">
        <f>$B8 * IFERROR(VLOOKUP("industry|PM25|Asthma symptoms wheeze", US_national_yearly!$D:$AM, 33, FALSE) / VLOOKUP("industry|PM25|Asthma symptoms wheeze", US_national_yearly!$D:$AM, 10, FALSE), 1)</f>
        <v>3.0712111763148576E-2</v>
      </c>
      <c r="Z8" s="7">
        <f>$B8 * IFERROR(VLOOKUP("industry|PM25|Asthma symptoms wheeze", US_national_yearly!$D:$AM, 34, FALSE) / VLOOKUP("industry|PM25|Asthma symptoms wheeze", US_national_yearly!$D:$AM, 10, FALSE), 1)</f>
        <v>3.0712111763148576E-2</v>
      </c>
      <c r="AA8" s="7">
        <f>$B8 * IFERROR(VLOOKUP("industry|PM25|Asthma symptoms wheeze", US_national_yearly!$D:$AM, 35, FALSE) / VLOOKUP("industry|PM25|Asthma symptoms wheeze", US_national_yearly!$D:$AM, 10, FALSE), 1)</f>
        <v>3.0712111763148576E-2</v>
      </c>
      <c r="AB8" s="7">
        <f>$B8 * IFERROR(VLOOKUP("industry|PM25|Asthma symptoms wheeze", US_national_yearly!$D:$AM, 36, FALSE) / VLOOKUP("industry|PM25|Asthma symptoms wheeze", US_national_yearly!$D:$AM, 10, FALSE), 1)</f>
        <v>3.0712111763148576E-2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4.9719588524513953E-4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5.0001874653440208E-4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5.0284160782366463E-4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5.0566446911292707E-4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5.0848733040218972E-4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5.1153937590895889E-4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5.1459142141572827E-4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5.1748667054590932E-4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5.2038191967609037E-4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5.2327716880627142E-4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5.2617241793645247E-4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5.2906766706663363E-4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5.3111539567359065E-4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5.3316312428054768E-4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5.352108528875047E-4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5.3725858149446172E-4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5.3930631010141886E-4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5.4123768021092E-4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5.4316905032042115E-4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5.451004204299224E-4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5.4703179053942354E-4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5.489631606489248E-4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5.5082278926972951E-4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5.5268241789053422E-4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5.5454204651133893E-4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5.5640167513214375E-4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5.5826130375294847E-4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2.6436766961303163E-3</v>
      </c>
      <c r="C13" s="7">
        <f>$B13 * IFERROR(VLOOKUP("industry|PM25|Non-fatal heart attacks", US_national_yearly!$D:$AM, 11, FALSE) / VLOOKUP("industry|PM25|Non-fatal heart attacks", US_national_yearly!$D:$AM, 10, FALSE), 1)</f>
        <v>2.7206348179423297E-3</v>
      </c>
      <c r="D13" s="7">
        <f>$B13 * IFERROR(VLOOKUP("industry|PM25|Non-fatal heart attacks", US_national_yearly!$D:$AM, 12, FALSE) / VLOOKUP("industry|PM25|Non-fatal heart attacks", US_national_yearly!$D:$AM, 10, FALSE), 1)</f>
        <v>2.7975929397543427E-3</v>
      </c>
      <c r="E13" s="7">
        <f>$B13 * IFERROR(VLOOKUP("industry|PM25|Non-fatal heart attacks", US_national_yearly!$D:$AM, 13, FALSE) / VLOOKUP("industry|PM25|Non-fatal heart attacks", US_national_yearly!$D:$AM, 10, FALSE), 1)</f>
        <v>2.8745510615663561E-3</v>
      </c>
      <c r="F13" s="7">
        <f>$B13 * IFERROR(VLOOKUP("industry|PM25|Non-fatal heart attacks", US_national_yearly!$D:$AM, 14, FALSE) / VLOOKUP("industry|PM25|Non-fatal heart attacks", US_national_yearly!$D:$AM, 10, FALSE), 1)</f>
        <v>2.9515091833783695E-3</v>
      </c>
      <c r="G13" s="7">
        <f>$B13 * IFERROR(VLOOKUP("industry|PM25|Non-fatal heart attacks", US_national_yearly!$D:$AM, 15, FALSE) / VLOOKUP("industry|PM25|Non-fatal heart attacks", US_national_yearly!$D:$AM, 10, FALSE), 1)</f>
        <v>3.0241630615428978E-3</v>
      </c>
      <c r="H13" s="7">
        <f>$B13 * IFERROR(VLOOKUP("industry|PM25|Non-fatal heart attacks", US_national_yearly!$D:$AM, 16, FALSE) / VLOOKUP("industry|PM25|Non-fatal heart attacks", US_national_yearly!$D:$AM, 10, FALSE), 1)</f>
        <v>3.0968169397074274E-3</v>
      </c>
      <c r="I13" s="7">
        <f>$B13 * IFERROR(VLOOKUP("industry|PM25|Non-fatal heart attacks", US_national_yearly!$D:$AM, 17, FALSE) / VLOOKUP("industry|PM25|Non-fatal heart attacks", US_national_yearly!$D:$AM, 10, FALSE), 1)</f>
        <v>3.1554856173007309E-3</v>
      </c>
      <c r="J13" s="7">
        <f>$B13 * IFERROR(VLOOKUP("industry|PM25|Non-fatal heart attacks", US_national_yearly!$D:$AM, 18, FALSE) / VLOOKUP("industry|PM25|Non-fatal heart attacks", US_national_yearly!$D:$AM, 10, FALSE), 1)</f>
        <v>3.214154294894034E-3</v>
      </c>
      <c r="K13" s="7">
        <f>$B13 * IFERROR(VLOOKUP("industry|PM25|Non-fatal heart attacks", US_national_yearly!$D:$AM, 19, FALSE) / VLOOKUP("industry|PM25|Non-fatal heart attacks", US_national_yearly!$D:$AM, 10, FALSE), 1)</f>
        <v>3.2728229724873371E-3</v>
      </c>
      <c r="L13" s="7">
        <f>$B13 * IFERROR(VLOOKUP("industry|PM25|Non-fatal heart attacks", US_national_yearly!$D:$AM, 20, FALSE) / VLOOKUP("industry|PM25|Non-fatal heart attacks", US_national_yearly!$D:$AM, 10, FALSE), 1)</f>
        <v>3.3314916500806402E-3</v>
      </c>
      <c r="M13" s="7">
        <f>$B13 * IFERROR(VLOOKUP("industry|PM25|Non-fatal heart attacks", US_national_yearly!$D:$AM, 21, FALSE) / VLOOKUP("industry|PM25|Non-fatal heart attacks", US_national_yearly!$D:$AM, 10, FALSE), 1)</f>
        <v>3.3901603276739432E-3</v>
      </c>
      <c r="N13" s="7">
        <f>$B13 * IFERROR(VLOOKUP("industry|PM25|Non-fatal heart attacks", US_national_yearly!$D:$AM, 22, FALSE) / VLOOKUP("industry|PM25|Non-fatal heart attacks", US_national_yearly!$D:$AM, 10, FALSE), 1)</f>
        <v>3.4280928950509984E-3</v>
      </c>
      <c r="O13" s="7">
        <f>$B13 * IFERROR(VLOOKUP("industry|PM25|Non-fatal heart attacks", US_national_yearly!$D:$AM, 23, FALSE) / VLOOKUP("industry|PM25|Non-fatal heart attacks", US_national_yearly!$D:$AM, 10, FALSE), 1)</f>
        <v>3.4660254624280539E-3</v>
      </c>
      <c r="P13" s="7">
        <f>$B13 * IFERROR(VLOOKUP("industry|PM25|Non-fatal heart attacks", US_national_yearly!$D:$AM, 24, FALSE) / VLOOKUP("industry|PM25|Non-fatal heart attacks", US_national_yearly!$D:$AM, 10, FALSE), 1)</f>
        <v>3.5039580298051091E-3</v>
      </c>
      <c r="Q13" s="7">
        <f>$B13 * IFERROR(VLOOKUP("industry|PM25|Non-fatal heart attacks", US_national_yearly!$D:$AM, 25, FALSE) / VLOOKUP("industry|PM25|Non-fatal heart attacks", US_national_yearly!$D:$AM, 10, FALSE), 1)</f>
        <v>3.5418905971821638E-3</v>
      </c>
      <c r="R13" s="7">
        <f>$B13 * IFERROR(VLOOKUP("industry|PM25|Non-fatal heart attacks", US_national_yearly!$D:$AM, 26, FALSE) / VLOOKUP("industry|PM25|Non-fatal heart attacks", US_national_yearly!$D:$AM, 10, FALSE), 1)</f>
        <v>3.5798231645592189E-3</v>
      </c>
      <c r="S13" s="7">
        <f>$B13 * IFERROR(VLOOKUP("industry|PM25|Non-fatal heart attacks", US_national_yearly!$D:$AM, 27, FALSE) / VLOOKUP("industry|PM25|Non-fatal heart attacks", US_national_yearly!$D:$AM, 10, FALSE), 1)</f>
        <v>3.6000830925464302E-3</v>
      </c>
      <c r="T13" s="7">
        <f>$B13 * IFERROR(VLOOKUP("industry|PM25|Non-fatal heart attacks", US_national_yearly!$D:$AM, 28, FALSE) / VLOOKUP("industry|PM25|Non-fatal heart attacks", US_national_yearly!$D:$AM, 10, FALSE), 1)</f>
        <v>3.6203430205336428E-3</v>
      </c>
      <c r="U13" s="7">
        <f>$B13 * IFERROR(VLOOKUP("industry|PM25|Non-fatal heart attacks", US_national_yearly!$D:$AM, 29, FALSE) / VLOOKUP("industry|PM25|Non-fatal heart attacks", US_national_yearly!$D:$AM, 10, FALSE), 1)</f>
        <v>3.6406029485208549E-3</v>
      </c>
      <c r="V13" s="7">
        <f>$B13 * IFERROR(VLOOKUP("industry|PM25|Non-fatal heart attacks", US_national_yearly!$D:$AM, 30, FALSE) / VLOOKUP("industry|PM25|Non-fatal heart attacks", US_national_yearly!$D:$AM, 10, FALSE), 1)</f>
        <v>3.6608628765080662E-3</v>
      </c>
      <c r="W13" s="7">
        <f>$B13 * IFERROR(VLOOKUP("industry|PM25|Non-fatal heart attacks", US_national_yearly!$D:$AM, 31, FALSE) / VLOOKUP("industry|PM25|Non-fatal heart attacks", US_national_yearly!$D:$AM, 10, FALSE), 1)</f>
        <v>3.6811228044952788E-3</v>
      </c>
      <c r="X13" s="7">
        <f>$B13 * IFERROR(VLOOKUP("industry|PM25|Non-fatal heart attacks", US_national_yearly!$D:$AM, 32, FALSE) / VLOOKUP("industry|PM25|Non-fatal heart attacks", US_national_yearly!$D:$AM, 10, FALSE), 1)</f>
        <v>3.6967592861746694E-3</v>
      </c>
      <c r="Y13" s="7">
        <f>$B13 * IFERROR(VLOOKUP("industry|PM25|Non-fatal heart attacks", US_national_yearly!$D:$AM, 33, FALSE) / VLOOKUP("industry|PM25|Non-fatal heart attacks", US_national_yearly!$D:$AM, 10, FALSE), 1)</f>
        <v>3.7123957678540593E-3</v>
      </c>
      <c r="Z13" s="7">
        <f>$B13 * IFERROR(VLOOKUP("industry|PM25|Non-fatal heart attacks", US_national_yearly!$D:$AM, 34, FALSE) / VLOOKUP("industry|PM25|Non-fatal heart attacks", US_national_yearly!$D:$AM, 10, FALSE), 1)</f>
        <v>3.7280322495334499E-3</v>
      </c>
      <c r="AA13" s="7">
        <f>$B13 * IFERROR(VLOOKUP("industry|PM25|Non-fatal heart attacks", US_national_yearly!$D:$AM, 35, FALSE) / VLOOKUP("industry|PM25|Non-fatal heart attacks", US_national_yearly!$D:$AM, 10, FALSE), 1)</f>
        <v>3.7436687312128406E-3</v>
      </c>
      <c r="AB13" s="7">
        <f>$B13 * IFERROR(VLOOKUP("industry|PM25|Non-fatal heart attacks", US_national_yearly!$D:$AM, 36, FALSE) / VLOOKUP("industry|PM25|Non-fatal heart attacks", US_national_yearly!$D:$AM, 10, FALSE), 1)</f>
        <v>3.7593052128922313E-3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1.7421003263365009</v>
      </c>
      <c r="C14" s="7">
        <f>$B14 * IFERROR(VLOOKUP("industry|PM25|Minor restricted activity days", US_national_yearly!$D:$AM, 11, FALSE) / VLOOKUP("industry|PM25|Minor restricted activity days", US_national_yearly!$D:$AM, 10, FALSE), 1)</f>
        <v>1.7463670187989022</v>
      </c>
      <c r="D14" s="7">
        <f>$B14 * IFERROR(VLOOKUP("industry|PM25|Minor restricted activity days", US_national_yearly!$D:$AM, 12, FALSE) / VLOOKUP("industry|PM25|Minor restricted activity days", US_national_yearly!$D:$AM, 10, FALSE), 1)</f>
        <v>1.7506337112613042</v>
      </c>
      <c r="E14" s="7">
        <f>$B14 * IFERROR(VLOOKUP("industry|PM25|Minor restricted activity days", US_national_yearly!$D:$AM, 13, FALSE) / VLOOKUP("industry|PM25|Minor restricted activity days", US_national_yearly!$D:$AM, 10, FALSE), 1)</f>
        <v>1.7549004037237055</v>
      </c>
      <c r="F14" s="7">
        <f>$B14 * IFERROR(VLOOKUP("industry|PM25|Minor restricted activity days", US_national_yearly!$D:$AM, 14, FALSE) / VLOOKUP("industry|PM25|Minor restricted activity days", US_national_yearly!$D:$AM, 10, FALSE), 1)</f>
        <v>1.759167096186107</v>
      </c>
      <c r="G14" s="7">
        <f>$B14 * IFERROR(VLOOKUP("industry|PM25|Minor restricted activity days", US_national_yearly!$D:$AM, 15, FALSE) / VLOOKUP("industry|PM25|Minor restricted activity days", US_national_yearly!$D:$AM, 10, FALSE), 1)</f>
        <v>1.765429907261066</v>
      </c>
      <c r="H14" s="7">
        <f>$B14 * IFERROR(VLOOKUP("industry|PM25|Minor restricted activity days", US_national_yearly!$D:$AM, 16, FALSE) / VLOOKUP("industry|PM25|Minor restricted activity days", US_national_yearly!$D:$AM, 10, FALSE), 1)</f>
        <v>1.7716927183360247</v>
      </c>
      <c r="I14" s="7">
        <f>$B14 * IFERROR(VLOOKUP("industry|PM25|Minor restricted activity days", US_national_yearly!$D:$AM, 17, FALSE) / VLOOKUP("industry|PM25|Minor restricted activity days", US_national_yearly!$D:$AM, 10, FALSE), 1)</f>
        <v>1.7823316240119755</v>
      </c>
      <c r="J14" s="7">
        <f>$B14 * IFERROR(VLOOKUP("industry|PM25|Minor restricted activity days", US_national_yearly!$D:$AM, 18, FALSE) / VLOOKUP("industry|PM25|Minor restricted activity days", US_national_yearly!$D:$AM, 10, FALSE), 1)</f>
        <v>1.792970529687927</v>
      </c>
      <c r="K14" s="7">
        <f>$B14 * IFERROR(VLOOKUP("industry|PM25|Minor restricted activity days", US_national_yearly!$D:$AM, 19, FALSE) / VLOOKUP("industry|PM25|Minor restricted activity days", US_national_yearly!$D:$AM, 10, FALSE), 1)</f>
        <v>1.8036094353638774</v>
      </c>
      <c r="L14" s="7">
        <f>$B14 * IFERROR(VLOOKUP("industry|PM25|Minor restricted activity days", US_national_yearly!$D:$AM, 20, FALSE) / VLOOKUP("industry|PM25|Minor restricted activity days", US_national_yearly!$D:$AM, 10, FALSE), 1)</f>
        <v>1.8142483410398285</v>
      </c>
      <c r="M14" s="7">
        <f>$B14 * IFERROR(VLOOKUP("industry|PM25|Minor restricted activity days", US_national_yearly!$D:$AM, 21, FALSE) / VLOOKUP("industry|PM25|Minor restricted activity days", US_national_yearly!$D:$AM, 10, FALSE), 1)</f>
        <v>1.8248872467157793</v>
      </c>
      <c r="N14" s="7">
        <f>$B14 * IFERROR(VLOOKUP("industry|PM25|Minor restricted activity days", US_national_yearly!$D:$AM, 22, FALSE) / VLOOKUP("industry|PM25|Minor restricted activity days", US_national_yearly!$D:$AM, 10, FALSE), 1)</f>
        <v>1.8394210423645707</v>
      </c>
      <c r="O14" s="7">
        <f>$B14 * IFERROR(VLOOKUP("industry|PM25|Minor restricted activity days", US_national_yearly!$D:$AM, 23, FALSE) / VLOOKUP("industry|PM25|Minor restricted activity days", US_national_yearly!$D:$AM, 10, FALSE), 1)</f>
        <v>1.8539548380133637</v>
      </c>
      <c r="P14" s="7">
        <f>$B14 * IFERROR(VLOOKUP("industry|PM25|Minor restricted activity days", US_national_yearly!$D:$AM, 24, FALSE) / VLOOKUP("industry|PM25|Minor restricted activity days", US_national_yearly!$D:$AM, 10, FALSE), 1)</f>
        <v>1.8684886336621551</v>
      </c>
      <c r="Q14" s="7">
        <f>$B14 * IFERROR(VLOOKUP("industry|PM25|Minor restricted activity days", US_national_yearly!$D:$AM, 25, FALSE) / VLOOKUP("industry|PM25|Minor restricted activity days", US_national_yearly!$D:$AM, 10, FALSE), 1)</f>
        <v>1.8830224293109483</v>
      </c>
      <c r="R14" s="7">
        <f>$B14 * IFERROR(VLOOKUP("industry|PM25|Minor restricted activity days", US_national_yearly!$D:$AM, 26, FALSE) / VLOOKUP("industry|PM25|Minor restricted activity days", US_national_yearly!$D:$AM, 10, FALSE), 1)</f>
        <v>1.8975562249597397</v>
      </c>
      <c r="S14" s="7">
        <f>$B14 * IFERROR(VLOOKUP("industry|PM25|Minor restricted activity days", US_national_yearly!$D:$AM, 27, FALSE) / VLOOKUP("industry|PM25|Minor restricted activity days", US_national_yearly!$D:$AM, 10, FALSE), 1)</f>
        <v>1.912229550730884</v>
      </c>
      <c r="T14" s="7">
        <f>$B14 * IFERROR(VLOOKUP("industry|PM25|Minor restricted activity days", US_national_yearly!$D:$AM, 28, FALSE) / VLOOKUP("industry|PM25|Minor restricted activity days", US_national_yearly!$D:$AM, 10, FALSE), 1)</f>
        <v>1.9269028765020284</v>
      </c>
      <c r="U14" s="7">
        <f>$B14 * IFERROR(VLOOKUP("industry|PM25|Minor restricted activity days", US_national_yearly!$D:$AM, 29, FALSE) / VLOOKUP("industry|PM25|Minor restricted activity days", US_national_yearly!$D:$AM, 10, FALSE), 1)</f>
        <v>1.9415762022731726</v>
      </c>
      <c r="V14" s="7">
        <f>$B14 * IFERROR(VLOOKUP("industry|PM25|Minor restricted activity days", US_national_yearly!$D:$AM, 30, FALSE) / VLOOKUP("industry|PM25|Minor restricted activity days", US_national_yearly!$D:$AM, 10, FALSE), 1)</f>
        <v>1.9562495280443166</v>
      </c>
      <c r="W14" s="7">
        <f>$B14 * IFERROR(VLOOKUP("industry|PM25|Minor restricted activity days", US_national_yearly!$D:$AM, 31, FALSE) / VLOOKUP("industry|PM25|Minor restricted activity days", US_national_yearly!$D:$AM, 10, FALSE), 1)</f>
        <v>1.9709228538154613</v>
      </c>
      <c r="X14" s="7">
        <f>$B14 * IFERROR(VLOOKUP("industry|PM25|Minor restricted activity days", US_national_yearly!$D:$AM, 32, FALSE) / VLOOKUP("industry|PM25|Minor restricted activity days", US_national_yearly!$D:$AM, 10, FALSE), 1)</f>
        <v>1.9836734365296806</v>
      </c>
      <c r="Y14" s="7">
        <f>$B14 * IFERROR(VLOOKUP("industry|PM25|Minor restricted activity days", US_national_yearly!$D:$AM, 33, FALSE) / VLOOKUP("industry|PM25|Minor restricted activity days", US_national_yearly!$D:$AM, 10, FALSE), 1)</f>
        <v>1.9964240192439002</v>
      </c>
      <c r="Z14" s="7">
        <f>$B14 * IFERROR(VLOOKUP("industry|PM25|Minor restricted activity days", US_national_yearly!$D:$AM, 34, FALSE) / VLOOKUP("industry|PM25|Minor restricted activity days", US_national_yearly!$D:$AM, 10, FALSE), 1)</f>
        <v>2.00917460195812</v>
      </c>
      <c r="AA14" s="7">
        <f>$B14 * IFERROR(VLOOKUP("industry|PM25|Minor restricted activity days", US_national_yearly!$D:$AM, 35, FALSE) / VLOOKUP("industry|PM25|Minor restricted activity days", US_national_yearly!$D:$AM, 10, FALSE), 1)</f>
        <v>2.0219251846723396</v>
      </c>
      <c r="AB14" s="7">
        <f>$B14 * IFERROR(VLOOKUP("industry|PM25|Minor restricted activity days", US_national_yearly!$D:$AM, 36, FALSE) / VLOOKUP("industry|PM25|Minor restricted activity days", US_national_yearly!$D:$AM, 10, FALSE), 1)</f>
        <v>2.0346757673865596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0.29423704810911566</v>
      </c>
      <c r="C15" s="7">
        <f>$B15 * IFERROR(VLOOKUP("industry|PM25|Work loss days", US_national_yearly!$D:$AM, 11, FALSE) / VLOOKUP("industry|PM25|Work loss days", US_national_yearly!$D:$AM, 10, FALSE), 1)</f>
        <v>0.29514930109428622</v>
      </c>
      <c r="D15" s="7">
        <f>$B15 * IFERROR(VLOOKUP("industry|PM25|Work loss days", US_national_yearly!$D:$AM, 12, FALSE) / VLOOKUP("industry|PM25|Work loss days", US_national_yearly!$D:$AM, 10, FALSE), 1)</f>
        <v>0.29606155407945683</v>
      </c>
      <c r="E15" s="7">
        <f>$B15 * IFERROR(VLOOKUP("industry|PM25|Work loss days", US_national_yearly!$D:$AM, 13, FALSE) / VLOOKUP("industry|PM25|Work loss days", US_national_yearly!$D:$AM, 10, FALSE), 1)</f>
        <v>0.29697380706462734</v>
      </c>
      <c r="F15" s="7">
        <f>$B15 * IFERROR(VLOOKUP("industry|PM25|Work loss days", US_national_yearly!$D:$AM, 14, FALSE) / VLOOKUP("industry|PM25|Work loss days", US_national_yearly!$D:$AM, 10, FALSE), 1)</f>
        <v>0.29788606004979795</v>
      </c>
      <c r="G15" s="7">
        <f>$B15 * IFERROR(VLOOKUP("industry|PM25|Work loss days", US_national_yearly!$D:$AM, 15, FALSE) / VLOOKUP("industry|PM25|Work loss days", US_national_yearly!$D:$AM, 10, FALSE), 1)</f>
        <v>0.29907704626479081</v>
      </c>
      <c r="H15" s="7">
        <f>$B15 * IFERROR(VLOOKUP("industry|PM25|Work loss days", US_national_yearly!$D:$AM, 16, FALSE) / VLOOKUP("industry|PM25|Work loss days", US_national_yearly!$D:$AM, 10, FALSE), 1)</f>
        <v>0.30026803247978368</v>
      </c>
      <c r="I15" s="7">
        <f>$B15 * IFERROR(VLOOKUP("industry|PM25|Work loss days", US_national_yearly!$D:$AM, 17, FALSE) / VLOOKUP("industry|PM25|Work loss days", US_national_yearly!$D:$AM, 10, FALSE), 1)</f>
        <v>0.30201201534635225</v>
      </c>
      <c r="J15" s="7">
        <f>$B15 * IFERROR(VLOOKUP("industry|PM25|Work loss days", US_national_yearly!$D:$AM, 18, FALSE) / VLOOKUP("industry|PM25|Work loss days", US_national_yearly!$D:$AM, 10, FALSE), 1)</f>
        <v>0.30375599821292082</v>
      </c>
      <c r="K15" s="7">
        <f>$B15 * IFERROR(VLOOKUP("industry|PM25|Work loss days", US_national_yearly!$D:$AM, 19, FALSE) / VLOOKUP("industry|PM25|Work loss days", US_national_yearly!$D:$AM, 10, FALSE), 1)</f>
        <v>0.30549998107948934</v>
      </c>
      <c r="L15" s="7">
        <f>$B15 * IFERROR(VLOOKUP("industry|PM25|Work loss days", US_national_yearly!$D:$AM, 20, FALSE) / VLOOKUP("industry|PM25|Work loss days", US_national_yearly!$D:$AM, 10, FALSE), 1)</f>
        <v>0.30724396394605796</v>
      </c>
      <c r="M15" s="7">
        <f>$B15 * IFERROR(VLOOKUP("industry|PM25|Work loss days", US_national_yearly!$D:$AM, 21, FALSE) / VLOOKUP("industry|PM25|Work loss days", US_national_yearly!$D:$AM, 10, FALSE), 1)</f>
        <v>0.30898794681262653</v>
      </c>
      <c r="N15" s="7">
        <f>$B15 * IFERROR(VLOOKUP("industry|PM25|Work loss days", US_national_yearly!$D:$AM, 22, FALSE) / VLOOKUP("industry|PM25|Work loss days", US_national_yearly!$D:$AM, 10, FALSE), 1)</f>
        <v>0.31118862427873162</v>
      </c>
      <c r="O15" s="7">
        <f>$B15 * IFERROR(VLOOKUP("industry|PM25|Work loss days", US_national_yearly!$D:$AM, 23, FALSE) / VLOOKUP("industry|PM25|Work loss days", US_national_yearly!$D:$AM, 10, FALSE), 1)</f>
        <v>0.3133893017448367</v>
      </c>
      <c r="P15" s="7">
        <f>$B15 * IFERROR(VLOOKUP("industry|PM25|Work loss days", US_national_yearly!$D:$AM, 24, FALSE) / VLOOKUP("industry|PM25|Work loss days", US_national_yearly!$D:$AM, 10, FALSE), 1)</f>
        <v>0.31558997921094173</v>
      </c>
      <c r="Q15" s="7">
        <f>$B15 * IFERROR(VLOOKUP("industry|PM25|Work loss days", US_national_yearly!$D:$AM, 25, FALSE) / VLOOKUP("industry|PM25|Work loss days", US_national_yearly!$D:$AM, 10, FALSE), 1)</f>
        <v>0.31779065667704681</v>
      </c>
      <c r="R15" s="7">
        <f>$B15 * IFERROR(VLOOKUP("industry|PM25|Work loss days", US_national_yearly!$D:$AM, 26, FALSE) / VLOOKUP("industry|PM25|Work loss days", US_national_yearly!$D:$AM, 10, FALSE), 1)</f>
        <v>0.31999133414315184</v>
      </c>
      <c r="S15" s="7">
        <f>$B15 * IFERROR(VLOOKUP("industry|PM25|Work loss days", US_national_yearly!$D:$AM, 27, FALSE) / VLOOKUP("industry|PM25|Work loss days", US_national_yearly!$D:$AM, 10, FALSE), 1)</f>
        <v>0.32243157346637302</v>
      </c>
      <c r="T15" s="7">
        <f>$B15 * IFERROR(VLOOKUP("industry|PM25|Work loss days", US_national_yearly!$D:$AM, 28, FALSE) / VLOOKUP("industry|PM25|Work loss days", US_national_yearly!$D:$AM, 10, FALSE), 1)</f>
        <v>0.32487181278959409</v>
      </c>
      <c r="U15" s="7">
        <f>$B15 * IFERROR(VLOOKUP("industry|PM25|Work loss days", US_national_yearly!$D:$AM, 29, FALSE) / VLOOKUP("industry|PM25|Work loss days", US_national_yearly!$D:$AM, 10, FALSE), 1)</f>
        <v>0.32731205211281522</v>
      </c>
      <c r="V15" s="7">
        <f>$B15 * IFERROR(VLOOKUP("industry|PM25|Work loss days", US_national_yearly!$D:$AM, 30, FALSE) / VLOOKUP("industry|PM25|Work loss days", US_national_yearly!$D:$AM, 10, FALSE), 1)</f>
        <v>0.32975229143603635</v>
      </c>
      <c r="W15" s="7">
        <f>$B15 * IFERROR(VLOOKUP("industry|PM25|Work loss days", US_national_yearly!$D:$AM, 31, FALSE) / VLOOKUP("industry|PM25|Work loss days", US_national_yearly!$D:$AM, 10, FALSE), 1)</f>
        <v>0.33219253075925753</v>
      </c>
      <c r="X15" s="7">
        <f>$B15 * IFERROR(VLOOKUP("industry|PM25|Work loss days", US_national_yearly!$D:$AM, 32, FALSE) / VLOOKUP("industry|PM25|Work loss days", US_national_yearly!$D:$AM, 10, FALSE), 1)</f>
        <v>0.33436100426510235</v>
      </c>
      <c r="Y15" s="7">
        <f>$B15 * IFERROR(VLOOKUP("industry|PM25|Work loss days", US_national_yearly!$D:$AM, 33, FALSE) / VLOOKUP("industry|PM25|Work loss days", US_national_yearly!$D:$AM, 10, FALSE), 1)</f>
        <v>0.33652947777094722</v>
      </c>
      <c r="Z15" s="7">
        <f>$B15 * IFERROR(VLOOKUP("industry|PM25|Work loss days", US_national_yearly!$D:$AM, 34, FALSE) / VLOOKUP("industry|PM25|Work loss days", US_national_yearly!$D:$AM, 10, FALSE), 1)</f>
        <v>0.33869795127679209</v>
      </c>
      <c r="AA15" s="7">
        <f>$B15 * IFERROR(VLOOKUP("industry|PM25|Work loss days", US_national_yearly!$D:$AM, 35, FALSE) / VLOOKUP("industry|PM25|Work loss days", US_national_yearly!$D:$AM, 10, FALSE), 1)</f>
        <v>0.3408664247826369</v>
      </c>
      <c r="AB15" s="7">
        <f>$B15 * IFERROR(VLOOKUP("industry|PM25|Work loss days", US_national_yearly!$D:$AM, 36, FALSE) / VLOOKUP("industry|PM25|Work loss days", US_national_yearly!$D:$AM, 10, FALSE), 1)</f>
        <v>0.34303489828848177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6.9976679694979109E-4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7.206972704814047E-4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7.4162774401301831E-4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7.6255821754463193E-4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7.8348869107624543E-4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8.0354904131468353E-4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8.2360939155312152E-4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8.4083296020923809E-4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8.5805652886535456E-4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8.7528009752147135E-4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8.9250366617758803E-4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9.0972723483370461E-4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9.2123264363139017E-4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9.3273805242907542E-4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9.4424346122676077E-4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9.5574887002444612E-4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9.6725427882213158E-4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9.7341859784354917E-4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9.7958291686496687E-4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9.8574723588638457E-4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9.9191155490780205E-4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9.9807587392921975E-4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1.0023088782416551E-3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1.0065418825540903E-3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1.0107748868665256E-3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1.0150078911789608E-3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1.0192408954913961E-3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1.280521060061467E-4</v>
      </c>
      <c r="C2" s="7">
        <f>$B2 * IFERROR(VLOOKUP("industry|NOx|Premature mortality", US_national_yearly!$D:$AM, 11, FALSE) / VLOOKUP("industry|NOx|Premature mortality", US_national_yearly!$D:$AM, 10, FALSE), 1)</f>
        <v>1.2994557888673788E-4</v>
      </c>
      <c r="D2" s="7">
        <f>$B2 * IFERROR(VLOOKUP("industry|NOx|Premature mortality", US_national_yearly!$D:$AM, 12, FALSE) / VLOOKUP("industry|NOx|Premature mortality", US_national_yearly!$D:$AM, 10, FALSE), 1)</f>
        <v>1.3183905176732908E-4</v>
      </c>
      <c r="E2" s="7">
        <f>$B2 * IFERROR(VLOOKUP("industry|NOx|Premature mortality", US_national_yearly!$D:$AM, 13, FALSE) / VLOOKUP("industry|NOx|Premature mortality", US_national_yearly!$D:$AM, 10, FALSE), 1)</f>
        <v>1.3373252464792025E-4</v>
      </c>
      <c r="F2" s="7">
        <f>$B2 * IFERROR(VLOOKUP("industry|NOx|Premature mortality", US_national_yearly!$D:$AM, 14, FALSE) / VLOOKUP("industry|NOx|Premature mortality", US_national_yearly!$D:$AM, 10, FALSE), 1)</f>
        <v>1.3562599752851148E-4</v>
      </c>
      <c r="G2" s="7">
        <f>$B2 * IFERROR(VLOOKUP("industry|NOx|Premature mortality", US_national_yearly!$D:$AM, 15, FALSE) / VLOOKUP("industry|NOx|Premature mortality", US_national_yearly!$D:$AM, 10, FALSE), 1)</f>
        <v>1.3902170347585233E-4</v>
      </c>
      <c r="H2" s="7">
        <f>$B2 * IFERROR(VLOOKUP("industry|NOx|Premature mortality", US_national_yearly!$D:$AM, 16, FALSE) / VLOOKUP("industry|NOx|Premature mortality", US_national_yearly!$D:$AM, 10, FALSE), 1)</f>
        <v>1.4241740942319317E-4</v>
      </c>
      <c r="I2" s="7">
        <f>$B2 * IFERROR(VLOOKUP("industry|NOx|Premature mortality", US_national_yearly!$D:$AM, 17, FALSE) / VLOOKUP("industry|NOx|Premature mortality", US_national_yearly!$D:$AM, 10, FALSE), 1)</f>
        <v>1.4462031813156938E-4</v>
      </c>
      <c r="J2" s="7">
        <f>$B2 * IFERROR(VLOOKUP("industry|NOx|Premature mortality", US_national_yearly!$D:$AM, 18, FALSE) / VLOOKUP("industry|NOx|Premature mortality", US_national_yearly!$D:$AM, 10, FALSE), 1)</f>
        <v>1.4682322683994562E-4</v>
      </c>
      <c r="K2" s="7">
        <f>$B2 * IFERROR(VLOOKUP("industry|NOx|Premature mortality", US_national_yearly!$D:$AM, 19, FALSE) / VLOOKUP("industry|NOx|Premature mortality", US_national_yearly!$D:$AM, 10, FALSE), 1)</f>
        <v>1.4902613554832185E-4</v>
      </c>
      <c r="L2" s="7">
        <f>$B2 * IFERROR(VLOOKUP("industry|NOx|Premature mortality", US_national_yearly!$D:$AM, 20, FALSE) / VLOOKUP("industry|NOx|Premature mortality", US_national_yearly!$D:$AM, 10, FALSE), 1)</f>
        <v>1.5122904425669809E-4</v>
      </c>
      <c r="M2" s="7">
        <f>$B2 * IFERROR(VLOOKUP("industry|NOx|Premature mortality", US_national_yearly!$D:$AM, 21, FALSE) / VLOOKUP("industry|NOx|Premature mortality", US_national_yearly!$D:$AM, 10, FALSE), 1)</f>
        <v>1.534319529650743E-4</v>
      </c>
      <c r="N2" s="7">
        <f>$B2 * IFERROR(VLOOKUP("industry|NOx|Premature mortality", US_national_yearly!$D:$AM, 22, FALSE) / VLOOKUP("industry|NOx|Premature mortality", US_national_yearly!$D:$AM, 10, FALSE), 1)</f>
        <v>1.5507120450264822E-4</v>
      </c>
      <c r="O2" s="7">
        <f>$B2 * IFERROR(VLOOKUP("industry|NOx|Premature mortality", US_national_yearly!$D:$AM, 23, FALSE) / VLOOKUP("industry|NOx|Premature mortality", US_national_yearly!$D:$AM, 10, FALSE), 1)</f>
        <v>1.5671045604022209E-4</v>
      </c>
      <c r="P2" s="7">
        <f>$B2 * IFERROR(VLOOKUP("industry|NOx|Premature mortality", US_national_yearly!$D:$AM, 24, FALSE) / VLOOKUP("industry|NOx|Premature mortality", US_national_yearly!$D:$AM, 10, FALSE), 1)</f>
        <v>1.5834970757779593E-4</v>
      </c>
      <c r="Q2" s="7">
        <f>$B2 * IFERROR(VLOOKUP("industry|NOx|Premature mortality", US_national_yearly!$D:$AM, 25, FALSE) / VLOOKUP("industry|NOx|Premature mortality", US_national_yearly!$D:$AM, 10, FALSE), 1)</f>
        <v>1.5998895911536982E-4</v>
      </c>
      <c r="R2" s="7">
        <f>$B2 * IFERROR(VLOOKUP("industry|NOx|Premature mortality", US_national_yearly!$D:$AM, 26, FALSE) / VLOOKUP("industry|NOx|Premature mortality", US_national_yearly!$D:$AM, 10, FALSE), 1)</f>
        <v>1.6162821065294369E-4</v>
      </c>
      <c r="S2" s="7">
        <f>$B2 * IFERROR(VLOOKUP("industry|NOx|Premature mortality", US_national_yearly!$D:$AM, 27, FALSE) / VLOOKUP("industry|NOx|Premature mortality", US_national_yearly!$D:$AM, 10, FALSE), 1)</f>
        <v>1.6239154513776922E-4</v>
      </c>
      <c r="T2" s="7">
        <f>$B2 * IFERROR(VLOOKUP("industry|NOx|Premature mortality", US_national_yearly!$D:$AM, 28, FALSE) / VLOOKUP("industry|NOx|Premature mortality", US_national_yearly!$D:$AM, 10, FALSE), 1)</f>
        <v>1.6315487962259475E-4</v>
      </c>
      <c r="U2" s="7">
        <f>$B2 * IFERROR(VLOOKUP("industry|NOx|Premature mortality", US_national_yearly!$D:$AM, 29, FALSE) / VLOOKUP("industry|NOx|Premature mortality", US_national_yearly!$D:$AM, 10, FALSE), 1)</f>
        <v>1.6391821410742028E-4</v>
      </c>
      <c r="V2" s="7">
        <f>$B2 * IFERROR(VLOOKUP("industry|NOx|Premature mortality", US_national_yearly!$D:$AM, 30, FALSE) / VLOOKUP("industry|NOx|Premature mortality", US_national_yearly!$D:$AM, 10, FALSE), 1)</f>
        <v>1.6468154859224581E-4</v>
      </c>
      <c r="W2" s="7">
        <f>$B2 * IFERROR(VLOOKUP("industry|NOx|Premature mortality", US_national_yearly!$D:$AM, 31, FALSE) / VLOOKUP("industry|NOx|Premature mortality", US_national_yearly!$D:$AM, 10, FALSE), 1)</f>
        <v>1.6544488307707132E-4</v>
      </c>
      <c r="X2" s="7">
        <f>$B2 * IFERROR(VLOOKUP("industry|NOx|Premature mortality", US_national_yearly!$D:$AM, 32, FALSE) / VLOOKUP("industry|NOx|Premature mortality", US_national_yearly!$D:$AM, 10, FALSE), 1)</f>
        <v>1.6550321953967992E-4</v>
      </c>
      <c r="Y2" s="7">
        <f>$B2 * IFERROR(VLOOKUP("industry|NOx|Premature mortality", US_national_yearly!$D:$AM, 33, FALSE) / VLOOKUP("industry|NOx|Premature mortality", US_national_yearly!$D:$AM, 10, FALSE), 1)</f>
        <v>1.655615560022885E-4</v>
      </c>
      <c r="Z2" s="7">
        <f>$B2 * IFERROR(VLOOKUP("industry|NOx|Premature mortality", US_national_yearly!$D:$AM, 34, FALSE) / VLOOKUP("industry|NOx|Premature mortality", US_national_yearly!$D:$AM, 10, FALSE), 1)</f>
        <v>1.6561989246489708E-4</v>
      </c>
      <c r="AA2" s="7">
        <f>$B2 * IFERROR(VLOOKUP("industry|NOx|Premature mortality", US_national_yearly!$D:$AM, 35, FALSE) / VLOOKUP("industry|NOx|Premature mortality", US_national_yearly!$D:$AM, 10, FALSE), 1)</f>
        <v>1.6567822892750569E-4</v>
      </c>
      <c r="AB2" s="7">
        <f>$B2 * IFERROR(VLOOKUP("industry|NOx|Premature mortality", US_national_yearly!$D:$AM, 36, FALSE) / VLOOKUP("industry|NOx|Premature mortality", US_national_yearly!$D:$AM, 10, FALSE), 1)</f>
        <v>1.6573656539011427E-4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3.1611084331665123E-7</v>
      </c>
      <c r="C3" s="7">
        <f>$B3 * IFERROR(VLOOKUP("industry|NOx|Infant mortality", US_national_yearly!$D:$AM, 11, FALSE) / VLOOKUP("industry|NOx|Infant mortality", US_national_yearly!$D:$AM, 10, FALSE), 1)</f>
        <v>3.1308350274474355E-7</v>
      </c>
      <c r="D3" s="7">
        <f>$B3 * IFERROR(VLOOKUP("industry|NOx|Infant mortality", US_national_yearly!$D:$AM, 12, FALSE) / VLOOKUP("industry|NOx|Infant mortality", US_national_yearly!$D:$AM, 10, FALSE), 1)</f>
        <v>3.1005616217283581E-7</v>
      </c>
      <c r="E3" s="7">
        <f>$B3 * IFERROR(VLOOKUP("industry|NOx|Infant mortality", US_national_yearly!$D:$AM, 13, FALSE) / VLOOKUP("industry|NOx|Infant mortality", US_national_yearly!$D:$AM, 10, FALSE), 1)</f>
        <v>3.0702882160092814E-7</v>
      </c>
      <c r="F3" s="7">
        <f>$B3 * IFERROR(VLOOKUP("industry|NOx|Infant mortality", US_national_yearly!$D:$AM, 14, FALSE) / VLOOKUP("industry|NOx|Infant mortality", US_national_yearly!$D:$AM, 10, FALSE), 1)</f>
        <v>3.040014810290204E-7</v>
      </c>
      <c r="G3" s="7">
        <f>$B3 * IFERROR(VLOOKUP("industry|NOx|Infant mortality", US_national_yearly!$D:$AM, 15, FALSE) / VLOOKUP("industry|NOx|Infant mortality", US_national_yearly!$D:$AM, 10, FALSE), 1)</f>
        <v>2.0164060597049347E-7</v>
      </c>
      <c r="H3" s="7">
        <f>$B3 * IFERROR(VLOOKUP("industry|NOx|Infant mortality", US_national_yearly!$D:$AM, 16, FALSE) / VLOOKUP("industry|NOx|Infant mortality", US_national_yearly!$D:$AM, 10, FALSE), 1)</f>
        <v>9.9279730911966572E-8</v>
      </c>
      <c r="I3" s="7">
        <f>$B3 * IFERROR(VLOOKUP("industry|NOx|Infant mortality", US_national_yearly!$D:$AM, 17, FALSE) / VLOOKUP("industry|NOx|Infant mortality", US_national_yearly!$D:$AM, 10, FALSE), 1)</f>
        <v>9.8563966917409875E-8</v>
      </c>
      <c r="J3" s="7">
        <f>$B3 * IFERROR(VLOOKUP("industry|NOx|Infant mortality", US_national_yearly!$D:$AM, 18, FALSE) / VLOOKUP("industry|NOx|Infant mortality", US_national_yearly!$D:$AM, 10, FALSE), 1)</f>
        <v>9.7848202922853191E-8</v>
      </c>
      <c r="K3" s="7">
        <f>$B3 * IFERROR(VLOOKUP("industry|NOx|Infant mortality", US_national_yearly!$D:$AM, 19, FALSE) / VLOOKUP("industry|NOx|Infant mortality", US_national_yearly!$D:$AM, 10, FALSE), 1)</f>
        <v>9.7132438928296494E-8</v>
      </c>
      <c r="L3" s="7">
        <f>$B3 * IFERROR(VLOOKUP("industry|NOx|Infant mortality", US_national_yearly!$D:$AM, 20, FALSE) / VLOOKUP("industry|NOx|Infant mortality", US_national_yearly!$D:$AM, 10, FALSE), 1)</f>
        <v>9.641667493373977E-8</v>
      </c>
      <c r="M3" s="7">
        <f>$B3 * IFERROR(VLOOKUP("industry|NOx|Infant mortality", US_national_yearly!$D:$AM, 21, FALSE) / VLOOKUP("industry|NOx|Infant mortality", US_national_yearly!$D:$AM, 10, FALSE), 1)</f>
        <v>9.570091093918306E-8</v>
      </c>
      <c r="N3" s="7">
        <f>$B3 * IFERROR(VLOOKUP("industry|NOx|Infant mortality", US_national_yearly!$D:$AM, 22, FALSE) / VLOOKUP("industry|NOx|Infant mortality", US_national_yearly!$D:$AM, 10, FALSE), 1)</f>
        <v>9.5218661445589797E-8</v>
      </c>
      <c r="O3" s="7">
        <f>$B3 * IFERROR(VLOOKUP("industry|NOx|Infant mortality", US_national_yearly!$D:$AM, 23, FALSE) / VLOOKUP("industry|NOx|Infant mortality", US_national_yearly!$D:$AM, 10, FALSE), 1)</f>
        <v>9.4736411951996493E-8</v>
      </c>
      <c r="P3" s="7">
        <f>$B3 * IFERROR(VLOOKUP("industry|NOx|Infant mortality", US_national_yearly!$D:$AM, 24, FALSE) / VLOOKUP("industry|NOx|Infant mortality", US_national_yearly!$D:$AM, 10, FALSE), 1)</f>
        <v>9.425416245840323E-8</v>
      </c>
      <c r="Q3" s="7">
        <f>$B3 * IFERROR(VLOOKUP("industry|NOx|Infant mortality", US_national_yearly!$D:$AM, 25, FALSE) / VLOOKUP("industry|NOx|Infant mortality", US_national_yearly!$D:$AM, 10, FALSE), 1)</f>
        <v>9.3771912964809953E-8</v>
      </c>
      <c r="R3" s="7">
        <f>$B3 * IFERROR(VLOOKUP("industry|NOx|Infant mortality", US_national_yearly!$D:$AM, 26, FALSE) / VLOOKUP("industry|NOx|Infant mortality", US_national_yearly!$D:$AM, 10, FALSE), 1)</f>
        <v>9.3289663471216676E-8</v>
      </c>
      <c r="S3" s="7">
        <f>$B3 * IFERROR(VLOOKUP("industry|NOx|Infant mortality", US_national_yearly!$D:$AM, 27, FALSE) / VLOOKUP("industry|NOx|Infant mortality", US_national_yearly!$D:$AM, 10, FALSE), 1)</f>
        <v>9.2717000819267574E-8</v>
      </c>
      <c r="T3" s="7">
        <f>$B3 * IFERROR(VLOOKUP("industry|NOx|Infant mortality", US_national_yearly!$D:$AM, 28, FALSE) / VLOOKUP("industry|NOx|Infant mortality", US_national_yearly!$D:$AM, 10, FALSE), 1)</f>
        <v>9.2144338167318471E-8</v>
      </c>
      <c r="U3" s="7">
        <f>$B3 * IFERROR(VLOOKUP("industry|NOx|Infant mortality", US_national_yearly!$D:$AM, 29, FALSE) / VLOOKUP("industry|NOx|Infant mortality", US_national_yearly!$D:$AM, 10, FALSE), 1)</f>
        <v>9.1571675515369355E-8</v>
      </c>
      <c r="V3" s="7">
        <f>$B3 * IFERROR(VLOOKUP("industry|NOx|Infant mortality", US_national_yearly!$D:$AM, 30, FALSE) / VLOOKUP("industry|NOx|Infant mortality", US_national_yearly!$D:$AM, 10, FALSE), 1)</f>
        <v>9.0999012863420252E-8</v>
      </c>
      <c r="W3" s="7">
        <f>$B3 * IFERROR(VLOOKUP("industry|NOx|Infant mortality", US_national_yearly!$D:$AM, 31, FALSE) / VLOOKUP("industry|NOx|Infant mortality", US_national_yearly!$D:$AM, 10, FALSE), 1)</f>
        <v>9.0426350211471163E-8</v>
      </c>
      <c r="X3" s="7">
        <f>$B3 * IFERROR(VLOOKUP("industry|NOx|Infant mortality", US_national_yearly!$D:$AM, 32, FALSE) / VLOOKUP("industry|NOx|Infant mortality", US_national_yearly!$D:$AM, 10, FALSE), 1)</f>
        <v>8.982499101709362E-8</v>
      </c>
      <c r="Y3" s="7">
        <f>$B3 * IFERROR(VLOOKUP("industry|NOx|Infant mortality", US_national_yearly!$D:$AM, 33, FALSE) / VLOOKUP("industry|NOx|Infant mortality", US_national_yearly!$D:$AM, 10, FALSE), 1)</f>
        <v>8.9223631822716078E-8</v>
      </c>
      <c r="Z3" s="7">
        <f>$B3 * IFERROR(VLOOKUP("industry|NOx|Infant mortality", US_national_yearly!$D:$AM, 34, FALSE) / VLOOKUP("industry|NOx|Infant mortality", US_national_yearly!$D:$AM, 10, FALSE), 1)</f>
        <v>8.8622272628338548E-8</v>
      </c>
      <c r="AA3" s="7">
        <f>$B3 * IFERROR(VLOOKUP("industry|NOx|Infant mortality", US_national_yearly!$D:$AM, 35, FALSE) / VLOOKUP("industry|NOx|Infant mortality", US_national_yearly!$D:$AM, 10, FALSE), 1)</f>
        <v>8.8020913433961018E-8</v>
      </c>
      <c r="AB3" s="7">
        <f>$B3 * IFERROR(VLOOKUP("industry|NOx|Infant mortality", US_national_yearly!$D:$AM, 36, FALSE) / VLOOKUP("industry|NOx|Infant mortality", US_national_yearly!$D:$AM, 10, FALSE), 1)</f>
        <v>8.7419554239583476E-8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2.6742336943918912E-4</v>
      </c>
      <c r="C6" s="7">
        <f>$B6 * IFERROR(VLOOKUP("industry|NOx|Asthma symptoms cough", US_national_yearly!$D:$AM, 11, FALSE) / VLOOKUP("industry|NOx|Asthma symptoms cough", US_national_yearly!$D:$AM, 10, FALSE), 1)</f>
        <v>2.7108181187468944E-4</v>
      </c>
      <c r="D6" s="7">
        <f>$B6 * IFERROR(VLOOKUP("industry|NOx|Asthma symptoms cough", US_national_yearly!$D:$AM, 12, FALSE) / VLOOKUP("industry|NOx|Asthma symptoms cough", US_national_yearly!$D:$AM, 10, FALSE), 1)</f>
        <v>2.7474025431018976E-4</v>
      </c>
      <c r="E6" s="7">
        <f>$B6 * IFERROR(VLOOKUP("industry|NOx|Asthma symptoms cough", US_national_yearly!$D:$AM, 13, FALSE) / VLOOKUP("industry|NOx|Asthma symptoms cough", US_national_yearly!$D:$AM, 10, FALSE), 1)</f>
        <v>2.7839869674569007E-4</v>
      </c>
      <c r="F6" s="7">
        <f>$B6 * IFERROR(VLOOKUP("industry|NOx|Asthma symptoms cough", US_national_yearly!$D:$AM, 14, FALSE) / VLOOKUP("industry|NOx|Asthma symptoms cough", US_national_yearly!$D:$AM, 10, FALSE), 1)</f>
        <v>2.8205713918119039E-4</v>
      </c>
      <c r="G6" s="7">
        <f>$B6 * IFERROR(VLOOKUP("industry|NOx|Asthma symptoms cough", US_national_yearly!$D:$AM, 15, FALSE) / VLOOKUP("industry|NOx|Asthma symptoms cough", US_national_yearly!$D:$AM, 10, FALSE), 1)</f>
        <v>2.8499064245303635E-4</v>
      </c>
      <c r="H6" s="7">
        <f>$B6 * IFERROR(VLOOKUP("industry|NOx|Asthma symptoms cough", US_national_yearly!$D:$AM, 16, FALSE) / VLOOKUP("industry|NOx|Asthma symptoms cough", US_national_yearly!$D:$AM, 10, FALSE), 1)</f>
        <v>2.8792414572488231E-4</v>
      </c>
      <c r="I6" s="7">
        <f>$B6 * IFERROR(VLOOKUP("industry|NOx|Asthma symptoms cough", US_national_yearly!$D:$AM, 17, FALSE) / VLOOKUP("industry|NOx|Asthma symptoms cough", US_national_yearly!$D:$AM, 10, FALSE), 1)</f>
        <v>2.8894503086918745E-4</v>
      </c>
      <c r="J6" s="7">
        <f>$B6 * IFERROR(VLOOKUP("industry|NOx|Asthma symptoms cough", US_national_yearly!$D:$AM, 18, FALSE) / VLOOKUP("industry|NOx|Asthma symptoms cough", US_national_yearly!$D:$AM, 10, FALSE), 1)</f>
        <v>2.8996591601349259E-4</v>
      </c>
      <c r="K6" s="7">
        <f>$B6 * IFERROR(VLOOKUP("industry|NOx|Asthma symptoms cough", US_national_yearly!$D:$AM, 19, FALSE) / VLOOKUP("industry|NOx|Asthma symptoms cough", US_national_yearly!$D:$AM, 10, FALSE), 1)</f>
        <v>2.9098680115779768E-4</v>
      </c>
      <c r="L6" s="7">
        <f>$B6 * IFERROR(VLOOKUP("industry|NOx|Asthma symptoms cough", US_national_yearly!$D:$AM, 20, FALSE) / VLOOKUP("industry|NOx|Asthma symptoms cough", US_national_yearly!$D:$AM, 10, FALSE), 1)</f>
        <v>2.9200768630210287E-4</v>
      </c>
      <c r="M6" s="7">
        <f>$B6 * IFERROR(VLOOKUP("industry|NOx|Asthma symptoms cough", US_national_yearly!$D:$AM, 21, FALSE) / VLOOKUP("industry|NOx|Asthma symptoms cough", US_national_yearly!$D:$AM, 10, FALSE), 1)</f>
        <v>2.9302857144640802E-4</v>
      </c>
      <c r="N6" s="7">
        <f>$B6 * IFERROR(VLOOKUP("industry|NOx|Asthma symptoms cough", US_national_yearly!$D:$AM, 22, FALSE) / VLOOKUP("industry|NOx|Asthma symptoms cough", US_national_yearly!$D:$AM, 10, FALSE), 1)</f>
        <v>2.941939397074419E-4</v>
      </c>
      <c r="O6" s="7">
        <f>$B6 * IFERROR(VLOOKUP("industry|NOx|Asthma symptoms cough", US_national_yearly!$D:$AM, 23, FALSE) / VLOOKUP("industry|NOx|Asthma symptoms cough", US_national_yearly!$D:$AM, 10, FALSE), 1)</f>
        <v>2.9535930796847567E-4</v>
      </c>
      <c r="P6" s="7">
        <f>$B6 * IFERROR(VLOOKUP("industry|NOx|Asthma symptoms cough", US_national_yearly!$D:$AM, 24, FALSE) / VLOOKUP("industry|NOx|Asthma symptoms cough", US_national_yearly!$D:$AM, 10, FALSE), 1)</f>
        <v>2.965246762295095E-4</v>
      </c>
      <c r="Q6" s="7">
        <f>$B6 * IFERROR(VLOOKUP("industry|NOx|Asthma symptoms cough", US_national_yearly!$D:$AM, 25, FALSE) / VLOOKUP("industry|NOx|Asthma symptoms cough", US_national_yearly!$D:$AM, 10, FALSE), 1)</f>
        <v>2.9769004449054339E-4</v>
      </c>
      <c r="R6" s="7">
        <f>$B6 * IFERROR(VLOOKUP("industry|NOx|Asthma symptoms cough", US_national_yearly!$D:$AM, 26, FALSE) / VLOOKUP("industry|NOx|Asthma symptoms cough", US_national_yearly!$D:$AM, 10, FALSE), 1)</f>
        <v>2.9885541275157722E-4</v>
      </c>
      <c r="S6" s="7">
        <f>$B6 * IFERROR(VLOOKUP("industry|NOx|Asthma symptoms cough", US_national_yearly!$D:$AM, 27, FALSE) / VLOOKUP("industry|NOx|Asthma symptoms cough", US_national_yearly!$D:$AM, 10, FALSE), 1)</f>
        <v>3.0035868624541572E-4</v>
      </c>
      <c r="T6" s="7">
        <f>$B6 * IFERROR(VLOOKUP("industry|NOx|Asthma symptoms cough", US_national_yearly!$D:$AM, 28, FALSE) / VLOOKUP("industry|NOx|Asthma symptoms cough", US_national_yearly!$D:$AM, 10, FALSE), 1)</f>
        <v>3.0186195973925422E-4</v>
      </c>
      <c r="U6" s="7">
        <f>$B6 * IFERROR(VLOOKUP("industry|NOx|Asthma symptoms cough", US_national_yearly!$D:$AM, 29, FALSE) / VLOOKUP("industry|NOx|Asthma symptoms cough", US_national_yearly!$D:$AM, 10, FALSE), 1)</f>
        <v>3.0336523323309266E-4</v>
      </c>
      <c r="V6" s="7">
        <f>$B6 * IFERROR(VLOOKUP("industry|NOx|Asthma symptoms cough", US_national_yearly!$D:$AM, 30, FALSE) / VLOOKUP("industry|NOx|Asthma symptoms cough", US_national_yearly!$D:$AM, 10, FALSE), 1)</f>
        <v>3.0486850672693111E-4</v>
      </c>
      <c r="W6" s="7">
        <f>$B6 * IFERROR(VLOOKUP("industry|NOx|Asthma symptoms cough", US_national_yearly!$D:$AM, 31, FALSE) / VLOOKUP("industry|NOx|Asthma symptoms cough", US_national_yearly!$D:$AM, 10, FALSE), 1)</f>
        <v>3.0637178022076966E-4</v>
      </c>
      <c r="X6" s="7">
        <f>$B6 * IFERROR(VLOOKUP("industry|NOx|Asthma symptoms cough", US_national_yearly!$D:$AM, 32, FALSE) / VLOOKUP("industry|NOx|Asthma symptoms cough", US_national_yearly!$D:$AM, 10, FALSE), 1)</f>
        <v>3.0776543034921128E-4</v>
      </c>
      <c r="Y6" s="7">
        <f>$B6 * IFERROR(VLOOKUP("industry|NOx|Asthma symptoms cough", US_national_yearly!$D:$AM, 33, FALSE) / VLOOKUP("industry|NOx|Asthma symptoms cough", US_national_yearly!$D:$AM, 10, FALSE), 1)</f>
        <v>3.0915908047765285E-4</v>
      </c>
      <c r="Z6" s="7">
        <f>$B6 * IFERROR(VLOOKUP("industry|NOx|Asthma symptoms cough", US_national_yearly!$D:$AM, 34, FALSE) / VLOOKUP("industry|NOx|Asthma symptoms cough", US_national_yearly!$D:$AM, 10, FALSE), 1)</f>
        <v>3.1055273060609452E-4</v>
      </c>
      <c r="AA6" s="7">
        <f>$B6 * IFERROR(VLOOKUP("industry|NOx|Asthma symptoms cough", US_national_yearly!$D:$AM, 35, FALSE) / VLOOKUP("industry|NOx|Asthma symptoms cough", US_national_yearly!$D:$AM, 10, FALSE), 1)</f>
        <v>3.1194638073453609E-4</v>
      </c>
      <c r="AB6" s="7">
        <f>$B6 * IFERROR(VLOOKUP("industry|NOx|Asthma symptoms cough", US_national_yearly!$D:$AM, 36, FALSE) / VLOOKUP("industry|NOx|Asthma symptoms cough", US_national_yearly!$D:$AM, 10, FALSE), 1)</f>
        <v>3.1334003086297776E-4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3.6012307612506573E-4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3.6504968199226745E-4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3.6997628785946917E-4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3.7490289372667089E-4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3.7982949959387271E-4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3.8377987319206455E-4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3.8773024679025645E-4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3.8910501180972897E-4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3.904797768292015E-4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3.9185454184867397E-4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3.9322930686814666E-4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3.9460407188761918E-4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3.9617340369096579E-4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3.9774273549431245E-4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3.9931206729765912E-4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4.0088139910100584E-4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4.024507309043525E-4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4.044750995023578E-4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4.0649946810036316E-4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4.0852383669836846E-4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4.1054820529637381E-4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4.1257257389437906E-4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4.1444931925363167E-4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4.1632606461288417E-4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4.1820280997213668E-4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4.2007955533138923E-4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4.2195630069064173E-4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5.5021164631871512E-4</v>
      </c>
      <c r="C8" s="7">
        <f>$B8 * IFERROR(VLOOKUP("industry|NOx|Asthma symptoms wheeze", US_national_yearly!$D:$AM, 11, FALSE) / VLOOKUP("industry|NOx|Asthma symptoms wheeze", US_national_yearly!$D:$AM, 10, FALSE), 1)</f>
        <v>5.5773872834216913E-4</v>
      </c>
      <c r="D8" s="7">
        <f>$B8 * IFERROR(VLOOKUP("industry|NOx|Asthma symptoms wheeze", US_national_yearly!$D:$AM, 12, FALSE) / VLOOKUP("industry|NOx|Asthma symptoms wheeze", US_national_yearly!$D:$AM, 10, FALSE), 1)</f>
        <v>5.6526581036562325E-4</v>
      </c>
      <c r="E8" s="7">
        <f>$B8 * IFERROR(VLOOKUP("industry|NOx|Asthma symptoms wheeze", US_national_yearly!$D:$AM, 13, FALSE) / VLOOKUP("industry|NOx|Asthma symptoms wheeze", US_national_yearly!$D:$AM, 10, FALSE), 1)</f>
        <v>5.7279289238907727E-4</v>
      </c>
      <c r="F8" s="7">
        <f>$B8 * IFERROR(VLOOKUP("industry|NOx|Asthma symptoms wheeze", US_national_yearly!$D:$AM, 14, FALSE) / VLOOKUP("industry|NOx|Asthma symptoms wheeze", US_national_yearly!$D:$AM, 10, FALSE), 1)</f>
        <v>5.8031997441253117E-4</v>
      </c>
      <c r="G8" s="7">
        <f>$B8 * IFERROR(VLOOKUP("industry|NOx|Asthma symptoms wheeze", US_national_yearly!$D:$AM, 15, FALSE) / VLOOKUP("industry|NOx|Asthma symptoms wheeze", US_national_yearly!$D:$AM, 10, FALSE), 1)</f>
        <v>5.863555264645692E-4</v>
      </c>
      <c r="H8" s="7">
        <f>$B8 * IFERROR(VLOOKUP("industry|NOx|Asthma symptoms wheeze", US_national_yearly!$D:$AM, 16, FALSE) / VLOOKUP("industry|NOx|Asthma symptoms wheeze", US_national_yearly!$D:$AM, 10, FALSE), 1)</f>
        <v>5.923910785166069E-4</v>
      </c>
      <c r="I8" s="7">
        <f>$B8 * IFERROR(VLOOKUP("industry|NOx|Asthma symptoms wheeze", US_national_yearly!$D:$AM, 17, FALSE) / VLOOKUP("industry|NOx|Asthma symptoms wheeze", US_national_yearly!$D:$AM, 10, FALSE), 1)</f>
        <v>5.944915041380547E-4</v>
      </c>
      <c r="J8" s="7">
        <f>$B8 * IFERROR(VLOOKUP("industry|NOx|Asthma symptoms wheeze", US_national_yearly!$D:$AM, 18, FALSE) / VLOOKUP("industry|NOx|Asthma symptoms wheeze", US_national_yearly!$D:$AM, 10, FALSE), 1)</f>
        <v>5.965919297595024E-4</v>
      </c>
      <c r="K8" s="7">
        <f>$B8 * IFERROR(VLOOKUP("industry|NOx|Asthma symptoms wheeze", US_national_yearly!$D:$AM, 19, FALSE) / VLOOKUP("industry|NOx|Asthma symptoms wheeze", US_national_yearly!$D:$AM, 10, FALSE), 1)</f>
        <v>5.9869235538095021E-4</v>
      </c>
      <c r="L8" s="7">
        <f>$B8 * IFERROR(VLOOKUP("industry|NOx|Asthma symptoms wheeze", US_national_yearly!$D:$AM, 20, FALSE) / VLOOKUP("industry|NOx|Asthma symptoms wheeze", US_national_yearly!$D:$AM, 10, FALSE), 1)</f>
        <v>6.0079278100239769E-4</v>
      </c>
      <c r="M8" s="7">
        <f>$B8 * IFERROR(VLOOKUP("industry|NOx|Asthma symptoms wheeze", US_national_yearly!$D:$AM, 21, FALSE) / VLOOKUP("industry|NOx|Asthma symptoms wheeze", US_national_yearly!$D:$AM, 10, FALSE), 1)</f>
        <v>6.0289320662384549E-4</v>
      </c>
      <c r="N8" s="7">
        <f>$B8 * IFERROR(VLOOKUP("industry|NOx|Asthma symptoms wheeze", US_national_yearly!$D:$AM, 22, FALSE) / VLOOKUP("industry|NOx|Asthma symptoms wheeze", US_national_yearly!$D:$AM, 10, FALSE), 1)</f>
        <v>6.0529089980905927E-4</v>
      </c>
      <c r="O8" s="7">
        <f>$B8 * IFERROR(VLOOKUP("industry|NOx|Asthma symptoms wheeze", US_national_yearly!$D:$AM, 23, FALSE) / VLOOKUP("industry|NOx|Asthma symptoms wheeze", US_national_yearly!$D:$AM, 10, FALSE), 1)</f>
        <v>6.0768859299427315E-4</v>
      </c>
      <c r="P8" s="7">
        <f>$B8 * IFERROR(VLOOKUP("industry|NOx|Asthma symptoms wheeze", US_national_yearly!$D:$AM, 24, FALSE) / VLOOKUP("industry|NOx|Asthma symptoms wheeze", US_national_yearly!$D:$AM, 10, FALSE), 1)</f>
        <v>6.1008628617948682E-4</v>
      </c>
      <c r="Q8" s="7">
        <f>$B8 * IFERROR(VLOOKUP("industry|NOx|Asthma symptoms wheeze", US_national_yearly!$D:$AM, 25, FALSE) / VLOOKUP("industry|NOx|Asthma symptoms wheeze", US_national_yearly!$D:$AM, 10, FALSE), 1)</f>
        <v>6.1248397936470059E-4</v>
      </c>
      <c r="R8" s="7">
        <f>$B8 * IFERROR(VLOOKUP("industry|NOx|Asthma symptoms wheeze", US_national_yearly!$D:$AM, 26, FALSE) / VLOOKUP("industry|NOx|Asthma symptoms wheeze", US_national_yearly!$D:$AM, 10, FALSE), 1)</f>
        <v>6.1488167254991437E-4</v>
      </c>
      <c r="S8" s="7">
        <f>$B8 * IFERROR(VLOOKUP("industry|NOx|Asthma symptoms wheeze", US_national_yearly!$D:$AM, 27, FALSE) / VLOOKUP("industry|NOx|Asthma symptoms wheeze", US_national_yearly!$D:$AM, 10, FALSE), 1)</f>
        <v>6.179745906694518E-4</v>
      </c>
      <c r="T8" s="7">
        <f>$B8 * IFERROR(VLOOKUP("industry|NOx|Asthma symptoms wheeze", US_national_yearly!$D:$AM, 28, FALSE) / VLOOKUP("industry|NOx|Asthma symptoms wheeze", US_national_yearly!$D:$AM, 10, FALSE), 1)</f>
        <v>6.2106750878898902E-4</v>
      </c>
      <c r="U8" s="7">
        <f>$B8 * IFERROR(VLOOKUP("industry|NOx|Asthma symptoms wheeze", US_national_yearly!$D:$AM, 29, FALSE) / VLOOKUP("industry|NOx|Asthma symptoms wheeze", US_national_yearly!$D:$AM, 10, FALSE), 1)</f>
        <v>6.2416042690852634E-4</v>
      </c>
      <c r="V8" s="7">
        <f>$B8 * IFERROR(VLOOKUP("industry|NOx|Asthma symptoms wheeze", US_national_yearly!$D:$AM, 30, FALSE) / VLOOKUP("industry|NOx|Asthma symptoms wheeze", US_national_yearly!$D:$AM, 10, FALSE), 1)</f>
        <v>6.2725334502806366E-4</v>
      </c>
      <c r="W8" s="7">
        <f>$B8 * IFERROR(VLOOKUP("industry|NOx|Asthma symptoms wheeze", US_national_yearly!$D:$AM, 31, FALSE) / VLOOKUP("industry|NOx|Asthma symptoms wheeze", US_national_yearly!$D:$AM, 10, FALSE), 1)</f>
        <v>6.3034626314760098E-4</v>
      </c>
      <c r="X8" s="7">
        <f>$B8 * IFERROR(VLOOKUP("industry|NOx|Asthma symptoms wheeze", US_national_yearly!$D:$AM, 32, FALSE) / VLOOKUP("industry|NOx|Asthma symptoms wheeze", US_national_yearly!$D:$AM, 10, FALSE), 1)</f>
        <v>6.3321363608549535E-4</v>
      </c>
      <c r="Y8" s="7">
        <f>$B8 * IFERROR(VLOOKUP("industry|NOx|Asthma symptoms wheeze", US_national_yearly!$D:$AM, 33, FALSE) / VLOOKUP("industry|NOx|Asthma symptoms wheeze", US_national_yearly!$D:$AM, 10, FALSE), 1)</f>
        <v>6.360810090233896E-4</v>
      </c>
      <c r="Z8" s="7">
        <f>$B8 * IFERROR(VLOOKUP("industry|NOx|Asthma symptoms wheeze", US_national_yearly!$D:$AM, 34, FALSE) / VLOOKUP("industry|NOx|Asthma symptoms wheeze", US_national_yearly!$D:$AM, 10, FALSE), 1)</f>
        <v>6.3894838196128386E-4</v>
      </c>
      <c r="AA8" s="7">
        <f>$B8 * IFERROR(VLOOKUP("industry|NOx|Asthma symptoms wheeze", US_national_yearly!$D:$AM, 35, FALSE) / VLOOKUP("industry|NOx|Asthma symptoms wheeze", US_national_yearly!$D:$AM, 10, FALSE), 1)</f>
        <v>6.4181575489917801E-4</v>
      </c>
      <c r="AB8" s="7">
        <f>$B8 * IFERROR(VLOOKUP("industry|NOx|Asthma symptoms wheeze", US_national_yearly!$D:$AM, 36, FALSE) / VLOOKUP("industry|NOx|Asthma symptoms wheeze", US_national_yearly!$D:$AM, 10, FALSE), 1)</f>
        <v>6.4468312783707269E-4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1.0932702592209539E-5</v>
      </c>
      <c r="C12" s="7">
        <f>$B12 * IFERROR(VLOOKUP("industry|NOx|Respiratory hospital admissions", US_national_yearly!$D:$AM, 11, FALSE) / VLOOKUP("industry|NOx|Respiratory hospital admissions", US_national_yearly!$D:$AM, 10, FALSE), 1)</f>
        <v>1.1207368301520942E-5</v>
      </c>
      <c r="D12" s="7">
        <f>$B12 * IFERROR(VLOOKUP("industry|NOx|Respiratory hospital admissions", US_national_yearly!$D:$AM, 12, FALSE) / VLOOKUP("industry|NOx|Respiratory hospital admissions", US_national_yearly!$D:$AM, 10, FALSE), 1)</f>
        <v>1.1482034010832343E-5</v>
      </c>
      <c r="E12" s="7">
        <f>$B12 * IFERROR(VLOOKUP("industry|NOx|Respiratory hospital admissions", US_national_yearly!$D:$AM, 13, FALSE) / VLOOKUP("industry|NOx|Respiratory hospital admissions", US_national_yearly!$D:$AM, 10, FALSE), 1)</f>
        <v>1.1756699720143747E-5</v>
      </c>
      <c r="F12" s="7">
        <f>$B12 * IFERROR(VLOOKUP("industry|NOx|Respiratory hospital admissions", US_national_yearly!$D:$AM, 14, FALSE) / VLOOKUP("industry|NOx|Respiratory hospital admissions", US_national_yearly!$D:$AM, 10, FALSE), 1)</f>
        <v>1.2031365429455146E-5</v>
      </c>
      <c r="G12" s="7">
        <f>$B12 * IFERROR(VLOOKUP("industry|NOx|Respiratory hospital admissions", US_national_yearly!$D:$AM, 15, FALSE) / VLOOKUP("industry|NOx|Respiratory hospital admissions", US_national_yearly!$D:$AM, 10, FALSE), 1)</f>
        <v>1.2294095394039159E-5</v>
      </c>
      <c r="H12" s="7">
        <f>$B12 * IFERROR(VLOOKUP("industry|NOx|Respiratory hospital admissions", US_national_yearly!$D:$AM, 16, FALSE) / VLOOKUP("industry|NOx|Respiratory hospital admissions", US_national_yearly!$D:$AM, 10, FALSE), 1)</f>
        <v>1.255682535862317E-5</v>
      </c>
      <c r="I12" s="7">
        <f>$B12 * IFERROR(VLOOKUP("industry|NOx|Respiratory hospital admissions", US_national_yearly!$D:$AM, 17, FALSE) / VLOOKUP("industry|NOx|Respiratory hospital admissions", US_national_yearly!$D:$AM, 10, FALSE), 1)</f>
        <v>1.278057560012518E-5</v>
      </c>
      <c r="J12" s="7">
        <f>$B12 * IFERROR(VLOOKUP("industry|NOx|Respiratory hospital admissions", US_national_yearly!$D:$AM, 18, FALSE) / VLOOKUP("industry|NOx|Respiratory hospital admissions", US_national_yearly!$D:$AM, 10, FALSE), 1)</f>
        <v>1.3004325841627188E-5</v>
      </c>
      <c r="K12" s="7">
        <f>$B12 * IFERROR(VLOOKUP("industry|NOx|Respiratory hospital admissions", US_national_yearly!$D:$AM, 19, FALSE) / VLOOKUP("industry|NOx|Respiratory hospital admissions", US_national_yearly!$D:$AM, 10, FALSE), 1)</f>
        <v>1.32280760831292E-5</v>
      </c>
      <c r="L12" s="7">
        <f>$B12 * IFERROR(VLOOKUP("industry|NOx|Respiratory hospital admissions", US_national_yearly!$D:$AM, 20, FALSE) / VLOOKUP("industry|NOx|Respiratory hospital admissions", US_national_yearly!$D:$AM, 10, FALSE), 1)</f>
        <v>1.3451826324631211E-5</v>
      </c>
      <c r="M12" s="7">
        <f>$B12 * IFERROR(VLOOKUP("industry|NOx|Respiratory hospital admissions", US_national_yearly!$D:$AM, 21, FALSE) / VLOOKUP("industry|NOx|Respiratory hospital admissions", US_national_yearly!$D:$AM, 10, FALSE), 1)</f>
        <v>1.367557656613322E-5</v>
      </c>
      <c r="N12" s="7">
        <f>$B12 * IFERROR(VLOOKUP("industry|NOx|Respiratory hospital admissions", US_national_yearly!$D:$AM, 22, FALSE) / VLOOKUP("industry|NOx|Respiratory hospital admissions", US_national_yearly!$D:$AM, 10, FALSE), 1)</f>
        <v>1.3825537779240292E-5</v>
      </c>
      <c r="O12" s="7">
        <f>$B12 * IFERROR(VLOOKUP("industry|NOx|Respiratory hospital admissions", US_national_yearly!$D:$AM, 23, FALSE) / VLOOKUP("industry|NOx|Respiratory hospital admissions", US_national_yearly!$D:$AM, 10, FALSE), 1)</f>
        <v>1.3975498992347361E-5</v>
      </c>
      <c r="P12" s="7">
        <f>$B12 * IFERROR(VLOOKUP("industry|NOx|Respiratory hospital admissions", US_national_yearly!$D:$AM, 24, FALSE) / VLOOKUP("industry|NOx|Respiratory hospital admissions", US_national_yearly!$D:$AM, 10, FALSE), 1)</f>
        <v>1.4125460205454434E-5</v>
      </c>
      <c r="Q12" s="7">
        <f>$B12 * IFERROR(VLOOKUP("industry|NOx|Respiratory hospital admissions", US_national_yearly!$D:$AM, 25, FALSE) / VLOOKUP("industry|NOx|Respiratory hospital admissions", US_national_yearly!$D:$AM, 10, FALSE), 1)</f>
        <v>1.4275421418561503E-5</v>
      </c>
      <c r="R12" s="7">
        <f>$B12 * IFERROR(VLOOKUP("industry|NOx|Respiratory hospital admissions", US_national_yearly!$D:$AM, 26, FALSE) / VLOOKUP("industry|NOx|Respiratory hospital admissions", US_national_yearly!$D:$AM, 10, FALSE), 1)</f>
        <v>1.4425382631668576E-5</v>
      </c>
      <c r="S12" s="7">
        <f>$B12 * IFERROR(VLOOKUP("industry|NOx|Respiratory hospital admissions", US_national_yearly!$D:$AM, 27, FALSE) / VLOOKUP("industry|NOx|Respiratory hospital admissions", US_national_yearly!$D:$AM, 10, FALSE), 1)</f>
        <v>1.4506798540688407E-5</v>
      </c>
      <c r="T12" s="7">
        <f>$B12 * IFERROR(VLOOKUP("industry|NOx|Respiratory hospital admissions", US_national_yearly!$D:$AM, 28, FALSE) / VLOOKUP("industry|NOx|Respiratory hospital admissions", US_national_yearly!$D:$AM, 10, FALSE), 1)</f>
        <v>1.4588214449708242E-5</v>
      </c>
      <c r="U12" s="7">
        <f>$B12 * IFERROR(VLOOKUP("industry|NOx|Respiratory hospital admissions", US_national_yearly!$D:$AM, 29, FALSE) / VLOOKUP("industry|NOx|Respiratory hospital admissions", US_national_yearly!$D:$AM, 10, FALSE), 1)</f>
        <v>1.4669630358728075E-5</v>
      </c>
      <c r="V12" s="7">
        <f>$B12 * IFERROR(VLOOKUP("industry|NOx|Respiratory hospital admissions", US_national_yearly!$D:$AM, 30, FALSE) / VLOOKUP("industry|NOx|Respiratory hospital admissions", US_national_yearly!$D:$AM, 10, FALSE), 1)</f>
        <v>1.4751046267747906E-5</v>
      </c>
      <c r="W12" s="7">
        <f>$B12 * IFERROR(VLOOKUP("industry|NOx|Respiratory hospital admissions", US_national_yearly!$D:$AM, 31, FALSE) / VLOOKUP("industry|NOx|Respiratory hospital admissions", US_national_yearly!$D:$AM, 10, FALSE), 1)</f>
        <v>1.4832462176767741E-5</v>
      </c>
      <c r="X12" s="7">
        <f>$B12 * IFERROR(VLOOKUP("industry|NOx|Respiratory hospital admissions", US_national_yearly!$D:$AM, 32, FALSE) / VLOOKUP("industry|NOx|Respiratory hospital admissions", US_national_yearly!$D:$AM, 10, FALSE), 1)</f>
        <v>1.4889230363852389E-5</v>
      </c>
      <c r="Y12" s="7">
        <f>$B12 * IFERROR(VLOOKUP("industry|NOx|Respiratory hospital admissions", US_national_yearly!$D:$AM, 33, FALSE) / VLOOKUP("industry|NOx|Respiratory hospital admissions", US_national_yearly!$D:$AM, 10, FALSE), 1)</f>
        <v>1.4945998550937036E-5</v>
      </c>
      <c r="Z12" s="7">
        <f>$B12 * IFERROR(VLOOKUP("industry|NOx|Respiratory hospital admissions", US_national_yearly!$D:$AM, 34, FALSE) / VLOOKUP("industry|NOx|Respiratory hospital admissions", US_national_yearly!$D:$AM, 10, FALSE), 1)</f>
        <v>1.5002766738021686E-5</v>
      </c>
      <c r="AA12" s="7">
        <f>$B12 * IFERROR(VLOOKUP("industry|NOx|Respiratory hospital admissions", US_national_yearly!$D:$AM, 35, FALSE) / VLOOKUP("industry|NOx|Respiratory hospital admissions", US_national_yearly!$D:$AM, 10, FALSE), 1)</f>
        <v>1.5059534925106334E-5</v>
      </c>
      <c r="AB12" s="7">
        <f>$B12 * IFERROR(VLOOKUP("industry|NOx|Respiratory hospital admissions", US_national_yearly!$D:$AM, 36, FALSE) / VLOOKUP("industry|NOx|Respiratory hospital admissions", US_national_yearly!$D:$AM, 10, FALSE), 1)</f>
        <v>1.511630311219098E-5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5.4092777175705427E-5</v>
      </c>
      <c r="C13" s="7">
        <f>$B13 * IFERROR(VLOOKUP("industry|NOx|Non-fatal heart attacks", US_national_yearly!$D:$AM, 11, FALSE) / VLOOKUP("industry|NOx|Non-fatal heart attacks", US_national_yearly!$D:$AM, 10, FALSE), 1)</f>
        <v>5.5638259655644626E-5</v>
      </c>
      <c r="D13" s="7">
        <f>$B13 * IFERROR(VLOOKUP("industry|NOx|Non-fatal heart attacks", US_national_yearly!$D:$AM, 12, FALSE) / VLOOKUP("industry|NOx|Non-fatal heart attacks", US_national_yearly!$D:$AM, 10, FALSE), 1)</f>
        <v>5.7183742135583833E-5</v>
      </c>
      <c r="E13" s="7">
        <f>$B13 * IFERROR(VLOOKUP("industry|NOx|Non-fatal heart attacks", US_national_yearly!$D:$AM, 13, FALSE) / VLOOKUP("industry|NOx|Non-fatal heart attacks", US_national_yearly!$D:$AM, 10, FALSE), 1)</f>
        <v>5.8729224615523033E-5</v>
      </c>
      <c r="F13" s="7">
        <f>$B13 * IFERROR(VLOOKUP("industry|NOx|Non-fatal heart attacks", US_national_yearly!$D:$AM, 14, FALSE) / VLOOKUP("industry|NOx|Non-fatal heart attacks", US_national_yearly!$D:$AM, 10, FALSE), 1)</f>
        <v>6.0274707095462239E-5</v>
      </c>
      <c r="G13" s="7">
        <f>$B13 * IFERROR(VLOOKUP("industry|NOx|Non-fatal heart attacks", US_national_yearly!$D:$AM, 15, FALSE) / VLOOKUP("industry|NOx|Non-fatal heart attacks", US_national_yearly!$D:$AM, 10, FALSE), 1)</f>
        <v>6.1720183421326832E-5</v>
      </c>
      <c r="H13" s="7">
        <f>$B13 * IFERROR(VLOOKUP("industry|NOx|Non-fatal heart attacks", US_national_yearly!$D:$AM, 16, FALSE) / VLOOKUP("industry|NOx|Non-fatal heart attacks", US_national_yearly!$D:$AM, 10, FALSE), 1)</f>
        <v>6.3165659747191431E-5</v>
      </c>
      <c r="I13" s="7">
        <f>$B13 * IFERROR(VLOOKUP("industry|NOx|Non-fatal heart attacks", US_national_yearly!$D:$AM, 17, FALSE) / VLOOKUP("industry|NOx|Non-fatal heart attacks", US_national_yearly!$D:$AM, 10, FALSE), 1)</f>
        <v>6.4308879573684376E-5</v>
      </c>
      <c r="J13" s="7">
        <f>$B13 * IFERROR(VLOOKUP("industry|NOx|Non-fatal heart attacks", US_national_yearly!$D:$AM, 18, FALSE) / VLOOKUP("industry|NOx|Non-fatal heart attacks", US_national_yearly!$D:$AM, 10, FALSE), 1)</f>
        <v>6.5452099400177321E-5</v>
      </c>
      <c r="K13" s="7">
        <f>$B13 * IFERROR(VLOOKUP("industry|NOx|Non-fatal heart attacks", US_national_yearly!$D:$AM, 19, FALSE) / VLOOKUP("industry|NOx|Non-fatal heart attacks", US_national_yearly!$D:$AM, 10, FALSE), 1)</f>
        <v>6.6595319226670253E-5</v>
      </c>
      <c r="L13" s="7">
        <f>$B13 * IFERROR(VLOOKUP("industry|NOx|Non-fatal heart attacks", US_national_yearly!$D:$AM, 20, FALSE) / VLOOKUP("industry|NOx|Non-fatal heart attacks", US_national_yearly!$D:$AM, 10, FALSE), 1)</f>
        <v>6.7738539053163225E-5</v>
      </c>
      <c r="M13" s="7">
        <f>$B13 * IFERROR(VLOOKUP("industry|NOx|Non-fatal heart attacks", US_national_yearly!$D:$AM, 21, FALSE) / VLOOKUP("industry|NOx|Non-fatal heart attacks", US_national_yearly!$D:$AM, 10, FALSE), 1)</f>
        <v>6.8881758879656184E-5</v>
      </c>
      <c r="N13" s="7">
        <f>$B13 * IFERROR(VLOOKUP("industry|NOx|Non-fatal heart attacks", US_national_yearly!$D:$AM, 22, FALSE) / VLOOKUP("industry|NOx|Non-fatal heart attacks", US_national_yearly!$D:$AM, 10, FALSE), 1)</f>
        <v>6.9570493955805159E-5</v>
      </c>
      <c r="O13" s="7">
        <f>$B13 * IFERROR(VLOOKUP("industry|NOx|Non-fatal heart attacks", US_national_yearly!$D:$AM, 23, FALSE) / VLOOKUP("industry|NOx|Non-fatal heart attacks", US_national_yearly!$D:$AM, 10, FALSE), 1)</f>
        <v>7.0259229031954134E-5</v>
      </c>
      <c r="P13" s="7">
        <f>$B13 * IFERROR(VLOOKUP("industry|NOx|Non-fatal heart attacks", US_national_yearly!$D:$AM, 24, FALSE) / VLOOKUP("industry|NOx|Non-fatal heart attacks", US_national_yearly!$D:$AM, 10, FALSE), 1)</f>
        <v>7.0947964108103109E-5</v>
      </c>
      <c r="Q13" s="7">
        <f>$B13 * IFERROR(VLOOKUP("industry|NOx|Non-fatal heart attacks", US_national_yearly!$D:$AM, 25, FALSE) / VLOOKUP("industry|NOx|Non-fatal heart attacks", US_national_yearly!$D:$AM, 10, FALSE), 1)</f>
        <v>7.1636699184252084E-5</v>
      </c>
      <c r="R13" s="7">
        <f>$B13 * IFERROR(VLOOKUP("industry|NOx|Non-fatal heart attacks", US_national_yearly!$D:$AM, 26, FALSE) / VLOOKUP("industry|NOx|Non-fatal heart attacks", US_national_yearly!$D:$AM, 10, FALSE), 1)</f>
        <v>7.2325434260401059E-5</v>
      </c>
      <c r="S13" s="7">
        <f>$B13 * IFERROR(VLOOKUP("industry|NOx|Non-fatal heart attacks", US_national_yearly!$D:$AM, 27, FALSE) / VLOOKUP("industry|NOx|Non-fatal heart attacks", US_national_yearly!$D:$AM, 10, FALSE), 1)</f>
        <v>7.2641439651135184E-5</v>
      </c>
      <c r="T13" s="7">
        <f>$B13 * IFERROR(VLOOKUP("industry|NOx|Non-fatal heart attacks", US_national_yearly!$D:$AM, 28, FALSE) / VLOOKUP("industry|NOx|Non-fatal heart attacks", US_national_yearly!$D:$AM, 10, FALSE), 1)</f>
        <v>7.2957445041869296E-5</v>
      </c>
      <c r="U13" s="7">
        <f>$B13 * IFERROR(VLOOKUP("industry|NOx|Non-fatal heart attacks", US_national_yearly!$D:$AM, 29, FALSE) / VLOOKUP("industry|NOx|Non-fatal heart attacks", US_national_yearly!$D:$AM, 10, FALSE), 1)</f>
        <v>7.3273450432603422E-5</v>
      </c>
      <c r="V13" s="7">
        <f>$B13 * IFERROR(VLOOKUP("industry|NOx|Non-fatal heart attacks", US_national_yearly!$D:$AM, 30, FALSE) / VLOOKUP("industry|NOx|Non-fatal heart attacks", US_national_yearly!$D:$AM, 10, FALSE), 1)</f>
        <v>7.3589455823337547E-5</v>
      </c>
      <c r="W13" s="7">
        <f>$B13 * IFERROR(VLOOKUP("industry|NOx|Non-fatal heart attacks", US_national_yearly!$D:$AM, 31, FALSE) / VLOOKUP("industry|NOx|Non-fatal heart attacks", US_national_yearly!$D:$AM, 10, FALSE), 1)</f>
        <v>7.3905461214071673E-5</v>
      </c>
      <c r="X13" s="7">
        <f>$B13 * IFERROR(VLOOKUP("industry|NOx|Non-fatal heart attacks", US_national_yearly!$D:$AM, 32, FALSE) / VLOOKUP("industry|NOx|Non-fatal heart attacks", US_national_yearly!$D:$AM, 10, FALSE), 1)</f>
        <v>7.4118730232969942E-5</v>
      </c>
      <c r="Y13" s="7">
        <f>$B13 * IFERROR(VLOOKUP("industry|NOx|Non-fatal heart attacks", US_national_yearly!$D:$AM, 33, FALSE) / VLOOKUP("industry|NOx|Non-fatal heart attacks", US_national_yearly!$D:$AM, 10, FALSE), 1)</f>
        <v>7.4331999251868225E-5</v>
      </c>
      <c r="Z13" s="7">
        <f>$B13 * IFERROR(VLOOKUP("industry|NOx|Non-fatal heart attacks", US_national_yearly!$D:$AM, 34, FALSE) / VLOOKUP("industry|NOx|Non-fatal heart attacks", US_national_yearly!$D:$AM, 10, FALSE), 1)</f>
        <v>7.4545268270766494E-5</v>
      </c>
      <c r="AA13" s="7">
        <f>$B13 * IFERROR(VLOOKUP("industry|NOx|Non-fatal heart attacks", US_national_yearly!$D:$AM, 35, FALSE) / VLOOKUP("industry|NOx|Non-fatal heart attacks", US_national_yearly!$D:$AM, 10, FALSE), 1)</f>
        <v>7.4758537289664777E-5</v>
      </c>
      <c r="AB13" s="7">
        <f>$B13 * IFERROR(VLOOKUP("industry|NOx|Non-fatal heart attacks", US_national_yearly!$D:$AM, 36, FALSE) / VLOOKUP("industry|NOx|Non-fatal heart attacks", US_national_yearly!$D:$AM, 10, FALSE), 1)</f>
        <v>7.4971806308563046E-5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3.1105096899363013E-2</v>
      </c>
      <c r="C14" s="7">
        <f>$B14 * IFERROR(VLOOKUP("industry|NOx|Minor restricted activity days", US_national_yearly!$D:$AM, 11, FALSE) / VLOOKUP("industry|NOx|Minor restricted activity days", US_national_yearly!$D:$AM, 10, FALSE), 1)</f>
        <v>3.1151181500629174E-2</v>
      </c>
      <c r="D14" s="7">
        <f>$B14 * IFERROR(VLOOKUP("industry|NOx|Minor restricted activity days", US_national_yearly!$D:$AM, 12, FALSE) / VLOOKUP("industry|NOx|Minor restricted activity days", US_national_yearly!$D:$AM, 10, FALSE), 1)</f>
        <v>3.119726610189533E-2</v>
      </c>
      <c r="E14" s="7">
        <f>$B14 * IFERROR(VLOOKUP("industry|NOx|Minor restricted activity days", US_national_yearly!$D:$AM, 13, FALSE) / VLOOKUP("industry|NOx|Minor restricted activity days", US_national_yearly!$D:$AM, 10, FALSE), 1)</f>
        <v>3.124335070316149E-2</v>
      </c>
      <c r="F14" s="7">
        <f>$B14 * IFERROR(VLOOKUP("industry|NOx|Minor restricted activity days", US_national_yearly!$D:$AM, 14, FALSE) / VLOOKUP("industry|NOx|Minor restricted activity days", US_national_yearly!$D:$AM, 10, FALSE), 1)</f>
        <v>3.1289435304427647E-2</v>
      </c>
      <c r="G14" s="7">
        <f>$B14 * IFERROR(VLOOKUP("industry|NOx|Minor restricted activity days", US_national_yearly!$D:$AM, 15, FALSE) / VLOOKUP("industry|NOx|Minor restricted activity days", US_national_yearly!$D:$AM, 10, FALSE), 1)</f>
        <v>3.1373328011281405E-2</v>
      </c>
      <c r="H14" s="7">
        <f>$B14 * IFERROR(VLOOKUP("industry|NOx|Minor restricted activity days", US_national_yearly!$D:$AM, 16, FALSE) / VLOOKUP("industry|NOx|Minor restricted activity days", US_national_yearly!$D:$AM, 10, FALSE), 1)</f>
        <v>3.1457220718135163E-2</v>
      </c>
      <c r="I14" s="7">
        <f>$B14 * IFERROR(VLOOKUP("industry|NOx|Minor restricted activity days", US_national_yearly!$D:$AM, 17, FALSE) / VLOOKUP("industry|NOx|Minor restricted activity days", US_national_yearly!$D:$AM, 10, FALSE), 1)</f>
        <v>3.1622375453497109E-2</v>
      </c>
      <c r="J14" s="7">
        <f>$B14 * IFERROR(VLOOKUP("industry|NOx|Minor restricted activity days", US_national_yearly!$D:$AM, 18, FALSE) / VLOOKUP("industry|NOx|Minor restricted activity days", US_national_yearly!$D:$AM, 10, FALSE), 1)</f>
        <v>3.1787530188859048E-2</v>
      </c>
      <c r="K14" s="7">
        <f>$B14 * IFERROR(VLOOKUP("industry|NOx|Minor restricted activity days", US_national_yearly!$D:$AM, 19, FALSE) / VLOOKUP("industry|NOx|Minor restricted activity days", US_national_yearly!$D:$AM, 10, FALSE), 1)</f>
        <v>3.195268492422098E-2</v>
      </c>
      <c r="L14" s="7">
        <f>$B14 * IFERROR(VLOOKUP("industry|NOx|Minor restricted activity days", US_national_yearly!$D:$AM, 20, FALSE) / VLOOKUP("industry|NOx|Minor restricted activity days", US_national_yearly!$D:$AM, 10, FALSE), 1)</f>
        <v>3.2117839659582925E-2</v>
      </c>
      <c r="M14" s="7">
        <f>$B14 * IFERROR(VLOOKUP("industry|NOx|Minor restricted activity days", US_national_yearly!$D:$AM, 21, FALSE) / VLOOKUP("industry|NOx|Minor restricted activity days", US_national_yearly!$D:$AM, 10, FALSE), 1)</f>
        <v>3.2282994394944857E-2</v>
      </c>
      <c r="N14" s="7">
        <f>$B14 * IFERROR(VLOOKUP("industry|NOx|Minor restricted activity days", US_national_yearly!$D:$AM, 22, FALSE) / VLOOKUP("industry|NOx|Minor restricted activity days", US_national_yearly!$D:$AM, 10, FALSE), 1)</f>
        <v>3.25208282548013E-2</v>
      </c>
      <c r="O14" s="7">
        <f>$B14 * IFERROR(VLOOKUP("industry|NOx|Minor restricted activity days", US_national_yearly!$D:$AM, 23, FALSE) / VLOOKUP("industry|NOx|Minor restricted activity days", US_national_yearly!$D:$AM, 10, FALSE), 1)</f>
        <v>3.2758662114657749E-2</v>
      </c>
      <c r="P14" s="7">
        <f>$B14 * IFERROR(VLOOKUP("industry|NOx|Minor restricted activity days", US_national_yearly!$D:$AM, 24, FALSE) / VLOOKUP("industry|NOx|Minor restricted activity days", US_national_yearly!$D:$AM, 10, FALSE), 1)</f>
        <v>3.2996495974514192E-2</v>
      </c>
      <c r="Q14" s="7">
        <f>$B14 * IFERROR(VLOOKUP("industry|NOx|Minor restricted activity days", US_national_yearly!$D:$AM, 25, FALSE) / VLOOKUP("industry|NOx|Minor restricted activity days", US_national_yearly!$D:$AM, 10, FALSE), 1)</f>
        <v>3.3234329834370635E-2</v>
      </c>
      <c r="R14" s="7">
        <f>$B14 * IFERROR(VLOOKUP("industry|NOx|Minor restricted activity days", US_national_yearly!$D:$AM, 26, FALSE) / VLOOKUP("industry|NOx|Minor restricted activity days", US_national_yearly!$D:$AM, 10, FALSE), 1)</f>
        <v>3.3472163694227085E-2</v>
      </c>
      <c r="S14" s="7">
        <f>$B14 * IFERROR(VLOOKUP("industry|NOx|Minor restricted activity days", US_national_yearly!$D:$AM, 27, FALSE) / VLOOKUP("industry|NOx|Minor restricted activity days", US_national_yearly!$D:$AM, 10, FALSE), 1)</f>
        <v>3.3710252187058483E-2</v>
      </c>
      <c r="T14" s="7">
        <f>$B14 * IFERROR(VLOOKUP("industry|NOx|Minor restricted activity days", US_national_yearly!$D:$AM, 28, FALSE) / VLOOKUP("industry|NOx|Minor restricted activity days", US_national_yearly!$D:$AM, 10, FALSE), 1)</f>
        <v>3.3948340679889881E-2</v>
      </c>
      <c r="U14" s="7">
        <f>$B14 * IFERROR(VLOOKUP("industry|NOx|Minor restricted activity days", US_national_yearly!$D:$AM, 29, FALSE) / VLOOKUP("industry|NOx|Minor restricted activity days", US_national_yearly!$D:$AM, 10, FALSE), 1)</f>
        <v>3.4186429172721286E-2</v>
      </c>
      <c r="V14" s="7">
        <f>$B14 * IFERROR(VLOOKUP("industry|NOx|Minor restricted activity days", US_national_yearly!$D:$AM, 30, FALSE) / VLOOKUP("industry|NOx|Minor restricted activity days", US_national_yearly!$D:$AM, 10, FALSE), 1)</f>
        <v>3.4424517665552691E-2</v>
      </c>
      <c r="W14" s="7">
        <f>$B14 * IFERROR(VLOOKUP("industry|NOx|Minor restricted activity days", US_national_yearly!$D:$AM, 31, FALSE) / VLOOKUP("industry|NOx|Minor restricted activity days", US_national_yearly!$D:$AM, 10, FALSE), 1)</f>
        <v>3.4662606158384096E-2</v>
      </c>
      <c r="X14" s="7">
        <f>$B14 * IFERROR(VLOOKUP("industry|NOx|Minor restricted activity days", US_national_yearly!$D:$AM, 32, FALSE) / VLOOKUP("industry|NOx|Minor restricted activity days", US_national_yearly!$D:$AM, 10, FALSE), 1)</f>
        <v>3.4863620798098231E-2</v>
      </c>
      <c r="Y14" s="7">
        <f>$B14 * IFERROR(VLOOKUP("industry|NOx|Minor restricted activity days", US_national_yearly!$D:$AM, 33, FALSE) / VLOOKUP("industry|NOx|Minor restricted activity days", US_national_yearly!$D:$AM, 10, FALSE), 1)</f>
        <v>3.506463543781236E-2</v>
      </c>
      <c r="Z14" s="7">
        <f>$B14 * IFERROR(VLOOKUP("industry|NOx|Minor restricted activity days", US_national_yearly!$D:$AM, 34, FALSE) / VLOOKUP("industry|NOx|Minor restricted activity days", US_national_yearly!$D:$AM, 10, FALSE), 1)</f>
        <v>3.5265650077526481E-2</v>
      </c>
      <c r="AA14" s="7">
        <f>$B14 * IFERROR(VLOOKUP("industry|NOx|Minor restricted activity days", US_national_yearly!$D:$AM, 35, FALSE) / VLOOKUP("industry|NOx|Minor restricted activity days", US_national_yearly!$D:$AM, 10, FALSE), 1)</f>
        <v>3.5466664717240616E-2</v>
      </c>
      <c r="AB14" s="7">
        <f>$B14 * IFERROR(VLOOKUP("industry|NOx|Minor restricted activity days", US_national_yearly!$D:$AM, 36, FALSE) / VLOOKUP("industry|NOx|Minor restricted activity days", US_national_yearly!$D:$AM, 10, FALSE), 1)</f>
        <v>3.5667679356954751E-2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5.2127840085063604E-3</v>
      </c>
      <c r="C15" s="7">
        <f>$B15 * IFERROR(VLOOKUP("industry|NOx|Work loss days", US_national_yearly!$D:$AM, 11, FALSE) / VLOOKUP("industry|NOx|Work loss days", US_national_yearly!$D:$AM, 10, FALSE), 1)</f>
        <v>5.2240784271001209E-3</v>
      </c>
      <c r="D15" s="7">
        <f>$B15 * IFERROR(VLOOKUP("industry|NOx|Work loss days", US_national_yearly!$D:$AM, 12, FALSE) / VLOOKUP("industry|NOx|Work loss days", US_national_yearly!$D:$AM, 10, FALSE), 1)</f>
        <v>5.2353728456938789E-3</v>
      </c>
      <c r="E15" s="7">
        <f>$B15 * IFERROR(VLOOKUP("industry|NOx|Work loss days", US_national_yearly!$D:$AM, 13, FALSE) / VLOOKUP("industry|NOx|Work loss days", US_national_yearly!$D:$AM, 10, FALSE), 1)</f>
        <v>5.2466672642876386E-3</v>
      </c>
      <c r="F15" s="7">
        <f>$B15 * IFERROR(VLOOKUP("industry|NOx|Work loss days", US_national_yearly!$D:$AM, 14, FALSE) / VLOOKUP("industry|NOx|Work loss days", US_national_yearly!$D:$AM, 10, FALSE), 1)</f>
        <v>5.2579616828813984E-3</v>
      </c>
      <c r="G15" s="7">
        <f>$B15 * IFERROR(VLOOKUP("industry|NOx|Work loss days", US_national_yearly!$D:$AM, 15, FALSE) / VLOOKUP("industry|NOx|Work loss days", US_national_yearly!$D:$AM, 10, FALSE), 1)</f>
        <v>5.2744825845614908E-3</v>
      </c>
      <c r="H15" s="7">
        <f>$B15 * IFERROR(VLOOKUP("industry|NOx|Work loss days", US_national_yearly!$D:$AM, 16, FALSE) / VLOOKUP("industry|NOx|Work loss days", US_national_yearly!$D:$AM, 10, FALSE), 1)</f>
        <v>5.2910034862415833E-3</v>
      </c>
      <c r="I15" s="7">
        <f>$B15 * IFERROR(VLOOKUP("industry|NOx|Work loss days", US_national_yearly!$D:$AM, 17, FALSE) / VLOOKUP("industry|NOx|Work loss days", US_national_yearly!$D:$AM, 10, FALSE), 1)</f>
        <v>5.31784576252106E-3</v>
      </c>
      <c r="J15" s="7">
        <f>$B15 * IFERROR(VLOOKUP("industry|NOx|Work loss days", US_national_yearly!$D:$AM, 18, FALSE) / VLOOKUP("industry|NOx|Work loss days", US_national_yearly!$D:$AM, 10, FALSE), 1)</f>
        <v>5.3446880388005359E-3</v>
      </c>
      <c r="K15" s="7">
        <f>$B15 * IFERROR(VLOOKUP("industry|NOx|Work loss days", US_national_yearly!$D:$AM, 19, FALSE) / VLOOKUP("industry|NOx|Work loss days", US_national_yearly!$D:$AM, 10, FALSE), 1)</f>
        <v>5.3715303150800127E-3</v>
      </c>
      <c r="L15" s="7">
        <f>$B15 * IFERROR(VLOOKUP("industry|NOx|Work loss days", US_national_yearly!$D:$AM, 20, FALSE) / VLOOKUP("industry|NOx|Work loss days", US_national_yearly!$D:$AM, 10, FALSE), 1)</f>
        <v>5.3983725913594877E-3</v>
      </c>
      <c r="M15" s="7">
        <f>$B15 * IFERROR(VLOOKUP("industry|NOx|Work loss days", US_national_yearly!$D:$AM, 21, FALSE) / VLOOKUP("industry|NOx|Work loss days", US_national_yearly!$D:$AM, 10, FALSE), 1)</f>
        <v>5.4252148676389644E-3</v>
      </c>
      <c r="N15" s="7">
        <f>$B15 * IFERROR(VLOOKUP("industry|NOx|Work loss days", US_national_yearly!$D:$AM, 22, FALSE) / VLOOKUP("industry|NOx|Work loss days", US_national_yearly!$D:$AM, 10, FALSE), 1)</f>
        <v>5.460318477808152E-3</v>
      </c>
      <c r="O15" s="7">
        <f>$B15 * IFERROR(VLOOKUP("industry|NOx|Work loss days", US_national_yearly!$D:$AM, 23, FALSE) / VLOOKUP("industry|NOx|Work loss days", US_national_yearly!$D:$AM, 10, FALSE), 1)</f>
        <v>5.4954220879773405E-3</v>
      </c>
      <c r="P15" s="7">
        <f>$B15 * IFERROR(VLOOKUP("industry|NOx|Work loss days", US_national_yearly!$D:$AM, 24, FALSE) / VLOOKUP("industry|NOx|Work loss days", US_national_yearly!$D:$AM, 10, FALSE), 1)</f>
        <v>5.5305256981465281E-3</v>
      </c>
      <c r="Q15" s="7">
        <f>$B15 * IFERROR(VLOOKUP("industry|NOx|Work loss days", US_national_yearly!$D:$AM, 25, FALSE) / VLOOKUP("industry|NOx|Work loss days", US_national_yearly!$D:$AM, 10, FALSE), 1)</f>
        <v>5.5656293083157157E-3</v>
      </c>
      <c r="R15" s="7">
        <f>$B15 * IFERROR(VLOOKUP("industry|NOx|Work loss days", US_national_yearly!$D:$AM, 26, FALSE) / VLOOKUP("industry|NOx|Work loss days", US_national_yearly!$D:$AM, 10, FALSE), 1)</f>
        <v>5.6007329184849051E-3</v>
      </c>
      <c r="S15" s="7">
        <f>$B15 * IFERROR(VLOOKUP("industry|NOx|Work loss days", US_national_yearly!$D:$AM, 27, FALSE) / VLOOKUP("industry|NOx|Work loss days", US_national_yearly!$D:$AM, 10, FALSE), 1)</f>
        <v>5.6399766283614173E-3</v>
      </c>
      <c r="T15" s="7">
        <f>$B15 * IFERROR(VLOOKUP("industry|NOx|Work loss days", US_national_yearly!$D:$AM, 28, FALSE) / VLOOKUP("industry|NOx|Work loss days", US_national_yearly!$D:$AM, 10, FALSE), 1)</f>
        <v>5.6792203382379303E-3</v>
      </c>
      <c r="U15" s="7">
        <f>$B15 * IFERROR(VLOOKUP("industry|NOx|Work loss days", US_national_yearly!$D:$AM, 29, FALSE) / VLOOKUP("industry|NOx|Work loss days", US_national_yearly!$D:$AM, 10, FALSE), 1)</f>
        <v>5.7184640481144433E-3</v>
      </c>
      <c r="V15" s="7">
        <f>$B15 * IFERROR(VLOOKUP("industry|NOx|Work loss days", US_national_yearly!$D:$AM, 30, FALSE) / VLOOKUP("industry|NOx|Work loss days", US_national_yearly!$D:$AM, 10, FALSE), 1)</f>
        <v>5.7577077579909555E-3</v>
      </c>
      <c r="W15" s="7">
        <f>$B15 * IFERROR(VLOOKUP("industry|NOx|Work loss days", US_national_yearly!$D:$AM, 31, FALSE) / VLOOKUP("industry|NOx|Work loss days", US_national_yearly!$D:$AM, 10, FALSE), 1)</f>
        <v>5.7969514678674694E-3</v>
      </c>
      <c r="X15" s="7">
        <f>$B15 * IFERROR(VLOOKUP("industry|NOx|Work loss days", US_national_yearly!$D:$AM, 32, FALSE) / VLOOKUP("industry|NOx|Work loss days", US_national_yearly!$D:$AM, 10, FALSE), 1)</f>
        <v>5.8309967548095861E-3</v>
      </c>
      <c r="Y15" s="7">
        <f>$B15 * IFERROR(VLOOKUP("industry|NOx|Work loss days", US_national_yearly!$D:$AM, 33, FALSE) / VLOOKUP("industry|NOx|Work loss days", US_national_yearly!$D:$AM, 10, FALSE), 1)</f>
        <v>5.8650420417517037E-3</v>
      </c>
      <c r="Z15" s="7">
        <f>$B15 * IFERROR(VLOOKUP("industry|NOx|Work loss days", US_national_yearly!$D:$AM, 34, FALSE) / VLOOKUP("industry|NOx|Work loss days", US_national_yearly!$D:$AM, 10, FALSE), 1)</f>
        <v>5.8990873286938212E-3</v>
      </c>
      <c r="AA15" s="7">
        <f>$B15 * IFERROR(VLOOKUP("industry|NOx|Work loss days", US_national_yearly!$D:$AM, 35, FALSE) / VLOOKUP("industry|NOx|Work loss days", US_national_yearly!$D:$AM, 10, FALSE), 1)</f>
        <v>5.9331326156359379E-3</v>
      </c>
      <c r="AB15" s="7">
        <f>$B15 * IFERROR(VLOOKUP("industry|NOx|Work loss days", US_national_yearly!$D:$AM, 36, FALSE) / VLOOKUP("industry|NOx|Work loss days", US_national_yearly!$D:$AM, 10, FALSE), 1)</f>
        <v>5.9671779025780554E-3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1.3941860895127014E-5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1.4351231171859225E-5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1.4760601448591436E-5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1.5169971725323646E-5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1.5579342002055861E-5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1.5968417399040489E-5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1.6357492796025116E-5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1.6685511508051054E-5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1.7013530220076989E-5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1.734154893210292E-5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1.7669567644128855E-5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1.7997586356154786E-5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1.8202939568085263E-5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1.8408292780015734E-5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1.8613645991946207E-5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1.8818999203876678E-5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1.9024352415807148E-5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1.9119085891271127E-5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1.9213819366735109E-5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1.9308552842199088E-5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1.9403286317663071E-5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1.9498019793127049E-5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1.9551543544696397E-5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1.9605067296265744E-5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1.9658591047835088E-5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1.9712114799404433E-5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1.976563855097378E-5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8.0247828736309341E-4</v>
      </c>
      <c r="C2" s="7">
        <f>$B2 * IFERROR(VLOOKUP("industry|SO2|Premature mortality", US_national_yearly!$D:$AM, 11, FALSE) / VLOOKUP("industry|SO2|Premature mortality", US_national_yearly!$D:$AM, 10, FALSE), 1)</f>
        <v>8.1265122652766203E-4</v>
      </c>
      <c r="D2" s="7">
        <f>$B2 * IFERROR(VLOOKUP("industry|SO2|Premature mortality", US_national_yearly!$D:$AM, 12, FALSE) / VLOOKUP("industry|SO2|Premature mortality", US_national_yearly!$D:$AM, 10, FALSE), 1)</f>
        <v>8.2282416569223044E-4</v>
      </c>
      <c r="E2" s="7">
        <f>$B2 * IFERROR(VLOOKUP("industry|SO2|Premature mortality", US_national_yearly!$D:$AM, 13, FALSE) / VLOOKUP("industry|SO2|Premature mortality", US_national_yearly!$D:$AM, 10, FALSE), 1)</f>
        <v>8.3299710485679895E-4</v>
      </c>
      <c r="F2" s="7">
        <f>$B2 * IFERROR(VLOOKUP("industry|SO2|Premature mortality", US_national_yearly!$D:$AM, 14, FALSE) / VLOOKUP("industry|SO2|Premature mortality", US_national_yearly!$D:$AM, 10, FALSE), 1)</f>
        <v>8.4317004402136757E-4</v>
      </c>
      <c r="G2" s="7">
        <f>$B2 * IFERROR(VLOOKUP("industry|SO2|Premature mortality", US_national_yearly!$D:$AM, 15, FALSE) / VLOOKUP("industry|SO2|Premature mortality", US_national_yearly!$D:$AM, 10, FALSE), 1)</f>
        <v>8.6277801412438626E-4</v>
      </c>
      <c r="H2" s="7">
        <f>$B2 * IFERROR(VLOOKUP("industry|SO2|Premature mortality", US_national_yearly!$D:$AM, 16, FALSE) / VLOOKUP("industry|SO2|Premature mortality", US_national_yearly!$D:$AM, 10, FALSE), 1)</f>
        <v>8.8238598422740483E-4</v>
      </c>
      <c r="I2" s="7">
        <f>$B2 * IFERROR(VLOOKUP("industry|SO2|Premature mortality", US_national_yearly!$D:$AM, 17, FALSE) / VLOOKUP("industry|SO2|Premature mortality", US_national_yearly!$D:$AM, 10, FALSE), 1)</f>
        <v>8.953698081248455E-4</v>
      </c>
      <c r="J2" s="7">
        <f>$B2 * IFERROR(VLOOKUP("industry|SO2|Premature mortality", US_national_yearly!$D:$AM, 18, FALSE) / VLOOKUP("industry|SO2|Premature mortality", US_national_yearly!$D:$AM, 10, FALSE), 1)</f>
        <v>9.0835363202228605E-4</v>
      </c>
      <c r="K2" s="7">
        <f>$B2 * IFERROR(VLOOKUP("industry|SO2|Premature mortality", US_national_yearly!$D:$AM, 19, FALSE) / VLOOKUP("industry|SO2|Premature mortality", US_national_yearly!$D:$AM, 10, FALSE), 1)</f>
        <v>9.213374559197265E-4</v>
      </c>
      <c r="L2" s="7">
        <f>$B2 * IFERROR(VLOOKUP("industry|SO2|Premature mortality", US_national_yearly!$D:$AM, 20, FALSE) / VLOOKUP("industry|SO2|Premature mortality", US_national_yearly!$D:$AM, 10, FALSE), 1)</f>
        <v>9.3432127981716716E-4</v>
      </c>
      <c r="M2" s="7">
        <f>$B2 * IFERROR(VLOOKUP("industry|SO2|Premature mortality", US_national_yearly!$D:$AM, 21, FALSE) / VLOOKUP("industry|SO2|Premature mortality", US_national_yearly!$D:$AM, 10, FALSE), 1)</f>
        <v>9.4730510371460761E-4</v>
      </c>
      <c r="N2" s="7">
        <f>$B2 * IFERROR(VLOOKUP("industry|SO2|Premature mortality", US_national_yearly!$D:$AM, 22, FALSE) / VLOOKUP("industry|SO2|Premature mortality", US_national_yearly!$D:$AM, 10, FALSE), 1)</f>
        <v>9.5746154105405188E-4</v>
      </c>
      <c r="O2" s="7">
        <f>$B2 * IFERROR(VLOOKUP("industry|SO2|Premature mortality", US_national_yearly!$D:$AM, 23, FALSE) / VLOOKUP("industry|SO2|Premature mortality", US_national_yearly!$D:$AM, 10, FALSE), 1)</f>
        <v>9.6761797839349615E-4</v>
      </c>
      <c r="P2" s="7">
        <f>$B2 * IFERROR(VLOOKUP("industry|SO2|Premature mortality", US_national_yearly!$D:$AM, 24, FALSE) / VLOOKUP("industry|SO2|Premature mortality", US_national_yearly!$D:$AM, 10, FALSE), 1)</f>
        <v>9.7777441573294053E-4</v>
      </c>
      <c r="Q2" s="7">
        <f>$B2 * IFERROR(VLOOKUP("industry|SO2|Premature mortality", US_national_yearly!$D:$AM, 25, FALSE) / VLOOKUP("industry|SO2|Premature mortality", US_national_yearly!$D:$AM, 10, FALSE), 1)</f>
        <v>9.879308530723848E-4</v>
      </c>
      <c r="R2" s="7">
        <f>$B2 * IFERROR(VLOOKUP("industry|SO2|Premature mortality", US_national_yearly!$D:$AM, 26, FALSE) / VLOOKUP("industry|SO2|Premature mortality", US_national_yearly!$D:$AM, 10, FALSE), 1)</f>
        <v>9.9808729041182907E-4</v>
      </c>
      <c r="S2" s="7">
        <f>$B2 * IFERROR(VLOOKUP("industry|SO2|Premature mortality", US_national_yearly!$D:$AM, 27, FALSE) / VLOOKUP("industry|SO2|Premature mortality", US_national_yearly!$D:$AM, 10, FALSE), 1)</f>
        <v>1.0035712070500518E-3</v>
      </c>
      <c r="T2" s="7">
        <f>$B2 * IFERROR(VLOOKUP("industry|SO2|Premature mortality", US_national_yearly!$D:$AM, 28, FALSE) / VLOOKUP("industry|SO2|Premature mortality", US_national_yearly!$D:$AM, 10, FALSE), 1)</f>
        <v>1.0090551236882747E-3</v>
      </c>
      <c r="U2" s="7">
        <f>$B2 * IFERROR(VLOOKUP("industry|SO2|Premature mortality", US_national_yearly!$D:$AM, 29, FALSE) / VLOOKUP("industry|SO2|Premature mortality", US_national_yearly!$D:$AM, 10, FALSE), 1)</f>
        <v>1.0145390403264978E-3</v>
      </c>
      <c r="V2" s="7">
        <f>$B2 * IFERROR(VLOOKUP("industry|SO2|Premature mortality", US_national_yearly!$D:$AM, 30, FALSE) / VLOOKUP("industry|SO2|Premature mortality", US_national_yearly!$D:$AM, 10, FALSE), 1)</f>
        <v>1.0200229569647208E-3</v>
      </c>
      <c r="W2" s="7">
        <f>$B2 * IFERROR(VLOOKUP("industry|SO2|Premature mortality", US_national_yearly!$D:$AM, 31, FALSE) / VLOOKUP("industry|SO2|Premature mortality", US_national_yearly!$D:$AM, 10, FALSE), 1)</f>
        <v>1.0255068736029437E-3</v>
      </c>
      <c r="X2" s="7">
        <f>$B2 * IFERROR(VLOOKUP("industry|SO2|Premature mortality", US_national_yearly!$D:$AM, 32, FALSE) / VLOOKUP("industry|SO2|Premature mortality", US_national_yearly!$D:$AM, 10, FALSE), 1)</f>
        <v>1.0266871797992116E-3</v>
      </c>
      <c r="Y2" s="7">
        <f>$B2 * IFERROR(VLOOKUP("industry|SO2|Premature mortality", US_national_yearly!$D:$AM, 33, FALSE) / VLOOKUP("industry|SO2|Premature mortality", US_national_yearly!$D:$AM, 10, FALSE), 1)</f>
        <v>1.0278674859954798E-3</v>
      </c>
      <c r="Z2" s="7">
        <f>$B2 * IFERROR(VLOOKUP("industry|SO2|Premature mortality", US_national_yearly!$D:$AM, 34, FALSE) / VLOOKUP("industry|SO2|Premature mortality", US_national_yearly!$D:$AM, 10, FALSE), 1)</f>
        <v>1.0290477921917481E-3</v>
      </c>
      <c r="AA2" s="7">
        <f>$B2 * IFERROR(VLOOKUP("industry|SO2|Premature mortality", US_national_yearly!$D:$AM, 35, FALSE) / VLOOKUP("industry|SO2|Premature mortality", US_national_yearly!$D:$AM, 10, FALSE), 1)</f>
        <v>1.0302280983880163E-3</v>
      </c>
      <c r="AB2" s="7">
        <f>$B2 * IFERROR(VLOOKUP("industry|SO2|Premature mortality", US_national_yearly!$D:$AM, 36, FALSE) / VLOOKUP("industry|SO2|Premature mortality", US_national_yearly!$D:$AM, 10, FALSE), 1)</f>
        <v>1.0314084045842844E-3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2.07641834734241E-6</v>
      </c>
      <c r="C3" s="7">
        <f>$B3 * IFERROR(VLOOKUP("industry|SO2|Infant mortality", US_national_yearly!$D:$AM, 11, FALSE) / VLOOKUP("industry|SO2|Infant mortality", US_national_yearly!$D:$AM, 10, FALSE), 1)</f>
        <v>2.0585547601735688E-6</v>
      </c>
      <c r="D3" s="7">
        <f>$B3 * IFERROR(VLOOKUP("industry|SO2|Infant mortality", US_national_yearly!$D:$AM, 12, FALSE) / VLOOKUP("industry|SO2|Infant mortality", US_national_yearly!$D:$AM, 10, FALSE), 1)</f>
        <v>2.0406911730047276E-6</v>
      </c>
      <c r="E3" s="7">
        <f>$B3 * IFERROR(VLOOKUP("industry|SO2|Infant mortality", US_national_yearly!$D:$AM, 13, FALSE) / VLOOKUP("industry|SO2|Infant mortality", US_national_yearly!$D:$AM, 10, FALSE), 1)</f>
        <v>2.0228275858358859E-6</v>
      </c>
      <c r="F3" s="7">
        <f>$B3 * IFERROR(VLOOKUP("industry|SO2|Infant mortality", US_national_yearly!$D:$AM, 14, FALSE) / VLOOKUP("industry|SO2|Infant mortality", US_national_yearly!$D:$AM, 10, FALSE), 1)</f>
        <v>2.0049639986670447E-6</v>
      </c>
      <c r="G3" s="7">
        <f>$B3 * IFERROR(VLOOKUP("industry|SO2|Infant mortality", US_national_yearly!$D:$AM, 15, FALSE) / VLOOKUP("industry|SO2|Infant mortality", US_national_yearly!$D:$AM, 10, FALSE), 1)</f>
        <v>1.3347012182380682E-6</v>
      </c>
      <c r="H3" s="7">
        <f>$B3 * IFERROR(VLOOKUP("industry|SO2|Infant mortality", US_national_yearly!$D:$AM, 16, FALSE) / VLOOKUP("industry|SO2|Infant mortality", US_national_yearly!$D:$AM, 10, FALSE), 1)</f>
        <v>6.6443843780909183E-7</v>
      </c>
      <c r="I3" s="7">
        <f>$B3 * IFERROR(VLOOKUP("industry|SO2|Infant mortality", US_national_yearly!$D:$AM, 17, FALSE) / VLOOKUP("industry|SO2|Infant mortality", US_national_yearly!$D:$AM, 10, FALSE), 1)</f>
        <v>6.6021931039944507E-7</v>
      </c>
      <c r="J3" s="7">
        <f>$B3 * IFERROR(VLOOKUP("industry|SO2|Infant mortality", US_national_yearly!$D:$AM, 18, FALSE) / VLOOKUP("industry|SO2|Infant mortality", US_national_yearly!$D:$AM, 10, FALSE), 1)</f>
        <v>6.560001829897982E-7</v>
      </c>
      <c r="K3" s="7">
        <f>$B3 * IFERROR(VLOOKUP("industry|SO2|Infant mortality", US_national_yearly!$D:$AM, 19, FALSE) / VLOOKUP("industry|SO2|Infant mortality", US_national_yearly!$D:$AM, 10, FALSE), 1)</f>
        <v>6.5178105558015144E-7</v>
      </c>
      <c r="L3" s="7">
        <f>$B3 * IFERROR(VLOOKUP("industry|SO2|Infant mortality", US_national_yearly!$D:$AM, 20, FALSE) / VLOOKUP("industry|SO2|Infant mortality", US_national_yearly!$D:$AM, 10, FALSE), 1)</f>
        <v>6.4756192817050468E-7</v>
      </c>
      <c r="M3" s="7">
        <f>$B3 * IFERROR(VLOOKUP("industry|SO2|Infant mortality", US_national_yearly!$D:$AM, 21, FALSE) / VLOOKUP("industry|SO2|Infant mortality", US_national_yearly!$D:$AM, 10, FALSE), 1)</f>
        <v>6.4334280076085781E-7</v>
      </c>
      <c r="N3" s="7">
        <f>$B3 * IFERROR(VLOOKUP("industry|SO2|Infant mortality", US_national_yearly!$D:$AM, 22, FALSE) / VLOOKUP("industry|SO2|Infant mortality", US_national_yearly!$D:$AM, 10, FALSE), 1)</f>
        <v>6.4066869798738389E-7</v>
      </c>
      <c r="O3" s="7">
        <f>$B3 * IFERROR(VLOOKUP("industry|SO2|Infant mortality", US_national_yearly!$D:$AM, 23, FALSE) / VLOOKUP("industry|SO2|Infant mortality", US_national_yearly!$D:$AM, 10, FALSE), 1)</f>
        <v>6.3799459521390986E-7</v>
      </c>
      <c r="P3" s="7">
        <f>$B3 * IFERROR(VLOOKUP("industry|SO2|Infant mortality", US_national_yearly!$D:$AM, 24, FALSE) / VLOOKUP("industry|SO2|Infant mortality", US_national_yearly!$D:$AM, 10, FALSE), 1)</f>
        <v>6.3532049244043594E-7</v>
      </c>
      <c r="Q3" s="7">
        <f>$B3 * IFERROR(VLOOKUP("industry|SO2|Infant mortality", US_national_yearly!$D:$AM, 25, FALSE) / VLOOKUP("industry|SO2|Infant mortality", US_national_yearly!$D:$AM, 10, FALSE), 1)</f>
        <v>6.3264638966696202E-7</v>
      </c>
      <c r="R3" s="7">
        <f>$B3 * IFERROR(VLOOKUP("industry|SO2|Infant mortality", US_national_yearly!$D:$AM, 26, FALSE) / VLOOKUP("industry|SO2|Infant mortality", US_national_yearly!$D:$AM, 10, FALSE), 1)</f>
        <v>6.29972286893488E-7</v>
      </c>
      <c r="S3" s="7">
        <f>$B3 * IFERROR(VLOOKUP("industry|SO2|Infant mortality", US_national_yearly!$D:$AM, 27, FALSE) / VLOOKUP("industry|SO2|Infant mortality", US_national_yearly!$D:$AM, 10, FALSE), 1)</f>
        <v>6.2664439649721953E-7</v>
      </c>
      <c r="T3" s="7">
        <f>$B3 * IFERROR(VLOOKUP("industry|SO2|Infant mortality", US_national_yearly!$D:$AM, 28, FALSE) / VLOOKUP("industry|SO2|Infant mortality", US_national_yearly!$D:$AM, 10, FALSE), 1)</f>
        <v>6.2331650610095095E-7</v>
      </c>
      <c r="U3" s="7">
        <f>$B3 * IFERROR(VLOOKUP("industry|SO2|Infant mortality", US_national_yearly!$D:$AM, 29, FALSE) / VLOOKUP("industry|SO2|Infant mortality", US_national_yearly!$D:$AM, 10, FALSE), 1)</f>
        <v>6.1998861570468238E-7</v>
      </c>
      <c r="V3" s="7">
        <f>$B3 * IFERROR(VLOOKUP("industry|SO2|Infant mortality", US_national_yearly!$D:$AM, 30, FALSE) / VLOOKUP("industry|SO2|Infant mortality", US_national_yearly!$D:$AM, 10, FALSE), 1)</f>
        <v>6.1666072530841391E-7</v>
      </c>
      <c r="W3" s="7">
        <f>$B3 * IFERROR(VLOOKUP("industry|SO2|Infant mortality", US_national_yearly!$D:$AM, 31, FALSE) / VLOOKUP("industry|SO2|Infant mortality", US_national_yearly!$D:$AM, 10, FALSE), 1)</f>
        <v>6.1333283491214533E-7</v>
      </c>
      <c r="X3" s="7">
        <f>$B3 * IFERROR(VLOOKUP("industry|SO2|Infant mortality", US_national_yearly!$D:$AM, 32, FALSE) / VLOOKUP("industry|SO2|Infant mortality", US_national_yearly!$D:$AM, 10, FALSE), 1)</f>
        <v>6.0971641116408806E-7</v>
      </c>
      <c r="Y3" s="7">
        <f>$B3 * IFERROR(VLOOKUP("industry|SO2|Infant mortality", US_national_yearly!$D:$AM, 33, FALSE) / VLOOKUP("industry|SO2|Infant mortality", US_national_yearly!$D:$AM, 10, FALSE), 1)</f>
        <v>6.0609998741603067E-7</v>
      </c>
      <c r="Z3" s="7">
        <f>$B3 * IFERROR(VLOOKUP("industry|SO2|Infant mortality", US_national_yearly!$D:$AM, 34, FALSE) / VLOOKUP("industry|SO2|Infant mortality", US_national_yearly!$D:$AM, 10, FALSE), 1)</f>
        <v>6.0248356366797329E-7</v>
      </c>
      <c r="AA3" s="7">
        <f>$B3 * IFERROR(VLOOKUP("industry|SO2|Infant mortality", US_national_yearly!$D:$AM, 35, FALSE) / VLOOKUP("industry|SO2|Infant mortality", US_national_yearly!$D:$AM, 10, FALSE), 1)</f>
        <v>5.9886713991991591E-7</v>
      </c>
      <c r="AB3" s="7">
        <f>$B3 * IFERROR(VLOOKUP("industry|SO2|Infant mortality", US_national_yearly!$D:$AM, 36, FALSE) / VLOOKUP("industry|SO2|Infant mortality", US_national_yearly!$D:$AM, 10, FALSE), 1)</f>
        <v>5.9525071617185853E-7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1.7450781926291326E-3</v>
      </c>
      <c r="C6" s="7">
        <f>$B6 * IFERROR(VLOOKUP("industry|SO2|Asthma symptoms cough", US_national_yearly!$D:$AM, 11, FALSE) / VLOOKUP("industry|SO2|Asthma symptoms cough", US_national_yearly!$D:$AM, 10, FALSE), 1)</f>
        <v>1.7450781926291326E-3</v>
      </c>
      <c r="D6" s="7">
        <f>$B6 * IFERROR(VLOOKUP("industry|SO2|Asthma symptoms cough", US_national_yearly!$D:$AM, 12, FALSE) / VLOOKUP("industry|SO2|Asthma symptoms cough", US_national_yearly!$D:$AM, 10, FALSE), 1)</f>
        <v>1.7450781926291326E-3</v>
      </c>
      <c r="E6" s="7">
        <f>$B6 * IFERROR(VLOOKUP("industry|SO2|Asthma symptoms cough", US_national_yearly!$D:$AM, 13, FALSE) / VLOOKUP("industry|SO2|Asthma symptoms cough", US_national_yearly!$D:$AM, 10, FALSE), 1)</f>
        <v>1.7450781926291326E-3</v>
      </c>
      <c r="F6" s="7">
        <f>$B6 * IFERROR(VLOOKUP("industry|SO2|Asthma symptoms cough", US_national_yearly!$D:$AM, 14, FALSE) / VLOOKUP("industry|SO2|Asthma symptoms cough", US_national_yearly!$D:$AM, 10, FALSE), 1)</f>
        <v>1.7450781926291326E-3</v>
      </c>
      <c r="G6" s="7">
        <f>$B6 * IFERROR(VLOOKUP("industry|SO2|Asthma symptoms cough", US_national_yearly!$D:$AM, 15, FALSE) / VLOOKUP("industry|SO2|Asthma symptoms cough", US_national_yearly!$D:$AM, 10, FALSE), 1)</f>
        <v>1.7450781926291326E-3</v>
      </c>
      <c r="H6" s="7">
        <f>$B6 * IFERROR(VLOOKUP("industry|SO2|Asthma symptoms cough", US_national_yearly!$D:$AM, 16, FALSE) / VLOOKUP("industry|SO2|Asthma symptoms cough", US_national_yearly!$D:$AM, 10, FALSE), 1)</f>
        <v>1.7450781926291326E-3</v>
      </c>
      <c r="I6" s="7">
        <f>$B6 * IFERROR(VLOOKUP("industry|SO2|Asthma symptoms cough", US_national_yearly!$D:$AM, 17, FALSE) / VLOOKUP("industry|SO2|Asthma symptoms cough", US_national_yearly!$D:$AM, 10, FALSE), 1)</f>
        <v>1.7450781926291326E-3</v>
      </c>
      <c r="J6" s="7">
        <f>$B6 * IFERROR(VLOOKUP("industry|SO2|Asthma symptoms cough", US_national_yearly!$D:$AM, 18, FALSE) / VLOOKUP("industry|SO2|Asthma symptoms cough", US_national_yearly!$D:$AM, 10, FALSE), 1)</f>
        <v>1.7450781926291326E-3</v>
      </c>
      <c r="K6" s="7">
        <f>$B6 * IFERROR(VLOOKUP("industry|SO2|Asthma symptoms cough", US_national_yearly!$D:$AM, 19, FALSE) / VLOOKUP("industry|SO2|Asthma symptoms cough", US_national_yearly!$D:$AM, 10, FALSE), 1)</f>
        <v>1.7450781926291326E-3</v>
      </c>
      <c r="L6" s="7">
        <f>$B6 * IFERROR(VLOOKUP("industry|SO2|Asthma symptoms cough", US_national_yearly!$D:$AM, 20, FALSE) / VLOOKUP("industry|SO2|Asthma symptoms cough", US_national_yearly!$D:$AM, 10, FALSE), 1)</f>
        <v>1.7450781926291326E-3</v>
      </c>
      <c r="M6" s="7">
        <f>$B6 * IFERROR(VLOOKUP("industry|SO2|Asthma symptoms cough", US_national_yearly!$D:$AM, 21, FALSE) / VLOOKUP("industry|SO2|Asthma symptoms cough", US_national_yearly!$D:$AM, 10, FALSE), 1)</f>
        <v>1.7450781926291326E-3</v>
      </c>
      <c r="N6" s="7">
        <f>$B6 * IFERROR(VLOOKUP("industry|SO2|Asthma symptoms cough", US_national_yearly!$D:$AM, 22, FALSE) / VLOOKUP("industry|SO2|Asthma symptoms cough", US_national_yearly!$D:$AM, 10, FALSE), 1)</f>
        <v>1.7450781926291326E-3</v>
      </c>
      <c r="O6" s="7">
        <f>$B6 * IFERROR(VLOOKUP("industry|SO2|Asthma symptoms cough", US_national_yearly!$D:$AM, 23, FALSE) / VLOOKUP("industry|SO2|Asthma symptoms cough", US_national_yearly!$D:$AM, 10, FALSE), 1)</f>
        <v>1.7450781926291326E-3</v>
      </c>
      <c r="P6" s="7">
        <f>$B6 * IFERROR(VLOOKUP("industry|SO2|Asthma symptoms cough", US_national_yearly!$D:$AM, 24, FALSE) / VLOOKUP("industry|SO2|Asthma symptoms cough", US_national_yearly!$D:$AM, 10, FALSE), 1)</f>
        <v>1.7450781926291326E-3</v>
      </c>
      <c r="Q6" s="7">
        <f>$B6 * IFERROR(VLOOKUP("industry|SO2|Asthma symptoms cough", US_national_yearly!$D:$AM, 25, FALSE) / VLOOKUP("industry|SO2|Asthma symptoms cough", US_national_yearly!$D:$AM, 10, FALSE), 1)</f>
        <v>1.7450781926291326E-3</v>
      </c>
      <c r="R6" s="7">
        <f>$B6 * IFERROR(VLOOKUP("industry|SO2|Asthma symptoms cough", US_national_yearly!$D:$AM, 26, FALSE) / VLOOKUP("industry|SO2|Asthma symptoms cough", US_national_yearly!$D:$AM, 10, FALSE), 1)</f>
        <v>1.7450781926291326E-3</v>
      </c>
      <c r="S6" s="7">
        <f>$B6 * IFERROR(VLOOKUP("industry|SO2|Asthma symptoms cough", US_national_yearly!$D:$AM, 27, FALSE) / VLOOKUP("industry|SO2|Asthma symptoms cough", US_national_yearly!$D:$AM, 10, FALSE), 1)</f>
        <v>1.7450781926291326E-3</v>
      </c>
      <c r="T6" s="7">
        <f>$B6 * IFERROR(VLOOKUP("industry|SO2|Asthma symptoms cough", US_national_yearly!$D:$AM, 28, FALSE) / VLOOKUP("industry|SO2|Asthma symptoms cough", US_national_yearly!$D:$AM, 10, FALSE), 1)</f>
        <v>1.7450781926291326E-3</v>
      </c>
      <c r="U6" s="7">
        <f>$B6 * IFERROR(VLOOKUP("industry|SO2|Asthma symptoms cough", US_national_yearly!$D:$AM, 29, FALSE) / VLOOKUP("industry|SO2|Asthma symptoms cough", US_national_yearly!$D:$AM, 10, FALSE), 1)</f>
        <v>1.7450781926291326E-3</v>
      </c>
      <c r="V6" s="7">
        <f>$B6 * IFERROR(VLOOKUP("industry|SO2|Asthma symptoms cough", US_national_yearly!$D:$AM, 30, FALSE) / VLOOKUP("industry|SO2|Asthma symptoms cough", US_national_yearly!$D:$AM, 10, FALSE), 1)</f>
        <v>1.7450781926291326E-3</v>
      </c>
      <c r="W6" s="7">
        <f>$B6 * IFERROR(VLOOKUP("industry|SO2|Asthma symptoms cough", US_national_yearly!$D:$AM, 31, FALSE) / VLOOKUP("industry|SO2|Asthma symptoms cough", US_national_yearly!$D:$AM, 10, FALSE), 1)</f>
        <v>1.7450781926291326E-3</v>
      </c>
      <c r="X6" s="7">
        <f>$B6 * IFERROR(VLOOKUP("industry|SO2|Asthma symptoms cough", US_national_yearly!$D:$AM, 32, FALSE) / VLOOKUP("industry|SO2|Asthma symptoms cough", US_national_yearly!$D:$AM, 10, FALSE), 1)</f>
        <v>1.7450781926291326E-3</v>
      </c>
      <c r="Y6" s="7">
        <f>$B6 * IFERROR(VLOOKUP("industry|SO2|Asthma symptoms cough", US_national_yearly!$D:$AM, 33, FALSE) / VLOOKUP("industry|SO2|Asthma symptoms cough", US_national_yearly!$D:$AM, 10, FALSE), 1)</f>
        <v>1.7450781926291326E-3</v>
      </c>
      <c r="Z6" s="7">
        <f>$B6 * IFERROR(VLOOKUP("industry|SO2|Asthma symptoms cough", US_national_yearly!$D:$AM, 34, FALSE) / VLOOKUP("industry|SO2|Asthma symptoms cough", US_national_yearly!$D:$AM, 10, FALSE), 1)</f>
        <v>1.7450781926291326E-3</v>
      </c>
      <c r="AA6" s="7">
        <f>$B6 * IFERROR(VLOOKUP("industry|SO2|Asthma symptoms cough", US_national_yearly!$D:$AM, 35, FALSE) / VLOOKUP("industry|SO2|Asthma symptoms cough", US_national_yearly!$D:$AM, 10, FALSE), 1)</f>
        <v>1.7450781926291326E-3</v>
      </c>
      <c r="AB6" s="7">
        <f>$B6 * IFERROR(VLOOKUP("industry|SO2|Asthma symptoms cough", US_national_yearly!$D:$AM, 36, FALSE) / VLOOKUP("industry|SO2|Asthma symptoms cough", US_national_yearly!$D:$AM, 10, FALSE), 1)</f>
        <v>1.7450781926291326E-3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2.3499960642019229E-3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2.3499960642019229E-3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2.3499960642019229E-3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2.3499960642019229E-3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2.3499960642019229E-3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2.3499960642019229E-3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2.3499960642019229E-3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2.3499960642019229E-3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2.3499960642019229E-3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2.3499960642019229E-3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2.3499960642019229E-3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2.3499960642019229E-3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2.3499960642019229E-3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2.3499960642019229E-3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2.3499960642019229E-3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2.3499960642019229E-3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2.3499960642019229E-3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2.3499960642019229E-3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2.3499960642019229E-3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2.3499960642019229E-3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2.3499960642019229E-3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2.3499960642019229E-3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2.3499960642019229E-3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2.3499960642019229E-3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2.3499960642019229E-3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2.3499960642019229E-3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2.3499960642019229E-3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3.5904133440112069E-3</v>
      </c>
      <c r="C8" s="7">
        <f>$B8 * IFERROR(VLOOKUP("industry|SO2|Asthma symptoms wheeze", US_national_yearly!$D:$AM, 11, FALSE) / VLOOKUP("industry|SO2|Asthma symptoms wheeze", US_national_yearly!$D:$AM, 10, FALSE), 1)</f>
        <v>3.5904133440112069E-3</v>
      </c>
      <c r="D8" s="7">
        <f>$B8 * IFERROR(VLOOKUP("industry|SO2|Asthma symptoms wheeze", US_national_yearly!$D:$AM, 12, FALSE) / VLOOKUP("industry|SO2|Asthma symptoms wheeze", US_national_yearly!$D:$AM, 10, FALSE), 1)</f>
        <v>3.5904133440112069E-3</v>
      </c>
      <c r="E8" s="7">
        <f>$B8 * IFERROR(VLOOKUP("industry|SO2|Asthma symptoms wheeze", US_national_yearly!$D:$AM, 13, FALSE) / VLOOKUP("industry|SO2|Asthma symptoms wheeze", US_national_yearly!$D:$AM, 10, FALSE), 1)</f>
        <v>3.5904133440112069E-3</v>
      </c>
      <c r="F8" s="7">
        <f>$B8 * IFERROR(VLOOKUP("industry|SO2|Asthma symptoms wheeze", US_national_yearly!$D:$AM, 14, FALSE) / VLOOKUP("industry|SO2|Asthma symptoms wheeze", US_national_yearly!$D:$AM, 10, FALSE), 1)</f>
        <v>3.5904133440112069E-3</v>
      </c>
      <c r="G8" s="7">
        <f>$B8 * IFERROR(VLOOKUP("industry|SO2|Asthma symptoms wheeze", US_national_yearly!$D:$AM, 15, FALSE) / VLOOKUP("industry|SO2|Asthma symptoms wheeze", US_national_yearly!$D:$AM, 10, FALSE), 1)</f>
        <v>3.5904133440112069E-3</v>
      </c>
      <c r="H8" s="7">
        <f>$B8 * IFERROR(VLOOKUP("industry|SO2|Asthma symptoms wheeze", US_national_yearly!$D:$AM, 16, FALSE) / VLOOKUP("industry|SO2|Asthma symptoms wheeze", US_national_yearly!$D:$AM, 10, FALSE), 1)</f>
        <v>3.5904133440112069E-3</v>
      </c>
      <c r="I8" s="7">
        <f>$B8 * IFERROR(VLOOKUP("industry|SO2|Asthma symptoms wheeze", US_national_yearly!$D:$AM, 17, FALSE) / VLOOKUP("industry|SO2|Asthma symptoms wheeze", US_national_yearly!$D:$AM, 10, FALSE), 1)</f>
        <v>3.5904133440112069E-3</v>
      </c>
      <c r="J8" s="7">
        <f>$B8 * IFERROR(VLOOKUP("industry|SO2|Asthma symptoms wheeze", US_national_yearly!$D:$AM, 18, FALSE) / VLOOKUP("industry|SO2|Asthma symptoms wheeze", US_national_yearly!$D:$AM, 10, FALSE), 1)</f>
        <v>3.5904133440112069E-3</v>
      </c>
      <c r="K8" s="7">
        <f>$B8 * IFERROR(VLOOKUP("industry|SO2|Asthma symptoms wheeze", US_national_yearly!$D:$AM, 19, FALSE) / VLOOKUP("industry|SO2|Asthma symptoms wheeze", US_national_yearly!$D:$AM, 10, FALSE), 1)</f>
        <v>3.5904133440112069E-3</v>
      </c>
      <c r="L8" s="7">
        <f>$B8 * IFERROR(VLOOKUP("industry|SO2|Asthma symptoms wheeze", US_national_yearly!$D:$AM, 20, FALSE) / VLOOKUP("industry|SO2|Asthma symptoms wheeze", US_national_yearly!$D:$AM, 10, FALSE), 1)</f>
        <v>3.5904133440112069E-3</v>
      </c>
      <c r="M8" s="7">
        <f>$B8 * IFERROR(VLOOKUP("industry|SO2|Asthma symptoms wheeze", US_national_yearly!$D:$AM, 21, FALSE) / VLOOKUP("industry|SO2|Asthma symptoms wheeze", US_national_yearly!$D:$AM, 10, FALSE), 1)</f>
        <v>3.5904133440112069E-3</v>
      </c>
      <c r="N8" s="7">
        <f>$B8 * IFERROR(VLOOKUP("industry|SO2|Asthma symptoms wheeze", US_national_yearly!$D:$AM, 22, FALSE) / VLOOKUP("industry|SO2|Asthma symptoms wheeze", US_national_yearly!$D:$AM, 10, FALSE), 1)</f>
        <v>3.5904133440112069E-3</v>
      </c>
      <c r="O8" s="7">
        <f>$B8 * IFERROR(VLOOKUP("industry|SO2|Asthma symptoms wheeze", US_national_yearly!$D:$AM, 23, FALSE) / VLOOKUP("industry|SO2|Asthma symptoms wheeze", US_national_yearly!$D:$AM, 10, FALSE), 1)</f>
        <v>3.5904133440112069E-3</v>
      </c>
      <c r="P8" s="7">
        <f>$B8 * IFERROR(VLOOKUP("industry|SO2|Asthma symptoms wheeze", US_national_yearly!$D:$AM, 24, FALSE) / VLOOKUP("industry|SO2|Asthma symptoms wheeze", US_national_yearly!$D:$AM, 10, FALSE), 1)</f>
        <v>3.5904133440112069E-3</v>
      </c>
      <c r="Q8" s="7">
        <f>$B8 * IFERROR(VLOOKUP("industry|SO2|Asthma symptoms wheeze", US_national_yearly!$D:$AM, 25, FALSE) / VLOOKUP("industry|SO2|Asthma symptoms wheeze", US_national_yearly!$D:$AM, 10, FALSE), 1)</f>
        <v>3.5904133440112069E-3</v>
      </c>
      <c r="R8" s="7">
        <f>$B8 * IFERROR(VLOOKUP("industry|SO2|Asthma symptoms wheeze", US_national_yearly!$D:$AM, 26, FALSE) / VLOOKUP("industry|SO2|Asthma symptoms wheeze", US_national_yearly!$D:$AM, 10, FALSE), 1)</f>
        <v>3.5904133440112069E-3</v>
      </c>
      <c r="S8" s="7">
        <f>$B8 * IFERROR(VLOOKUP("industry|SO2|Asthma symptoms wheeze", US_national_yearly!$D:$AM, 27, FALSE) / VLOOKUP("industry|SO2|Asthma symptoms wheeze", US_national_yearly!$D:$AM, 10, FALSE), 1)</f>
        <v>3.5904133440112069E-3</v>
      </c>
      <c r="T8" s="7">
        <f>$B8 * IFERROR(VLOOKUP("industry|SO2|Asthma symptoms wheeze", US_national_yearly!$D:$AM, 28, FALSE) / VLOOKUP("industry|SO2|Asthma symptoms wheeze", US_national_yearly!$D:$AM, 10, FALSE), 1)</f>
        <v>3.5904133440112069E-3</v>
      </c>
      <c r="U8" s="7">
        <f>$B8 * IFERROR(VLOOKUP("industry|SO2|Asthma symptoms wheeze", US_national_yearly!$D:$AM, 29, FALSE) / VLOOKUP("industry|SO2|Asthma symptoms wheeze", US_national_yearly!$D:$AM, 10, FALSE), 1)</f>
        <v>3.5904133440112069E-3</v>
      </c>
      <c r="V8" s="7">
        <f>$B8 * IFERROR(VLOOKUP("industry|SO2|Asthma symptoms wheeze", US_national_yearly!$D:$AM, 30, FALSE) / VLOOKUP("industry|SO2|Asthma symptoms wheeze", US_national_yearly!$D:$AM, 10, FALSE), 1)</f>
        <v>3.5904133440112069E-3</v>
      </c>
      <c r="W8" s="7">
        <f>$B8 * IFERROR(VLOOKUP("industry|SO2|Asthma symptoms wheeze", US_national_yearly!$D:$AM, 31, FALSE) / VLOOKUP("industry|SO2|Asthma symptoms wheeze", US_national_yearly!$D:$AM, 10, FALSE), 1)</f>
        <v>3.5904133440112069E-3</v>
      </c>
      <c r="X8" s="7">
        <f>$B8 * IFERROR(VLOOKUP("industry|SO2|Asthma symptoms wheeze", US_national_yearly!$D:$AM, 32, FALSE) / VLOOKUP("industry|SO2|Asthma symptoms wheeze", US_national_yearly!$D:$AM, 10, FALSE), 1)</f>
        <v>3.5904133440112069E-3</v>
      </c>
      <c r="Y8" s="7">
        <f>$B8 * IFERROR(VLOOKUP("industry|SO2|Asthma symptoms wheeze", US_national_yearly!$D:$AM, 33, FALSE) / VLOOKUP("industry|SO2|Asthma symptoms wheeze", US_national_yearly!$D:$AM, 10, FALSE), 1)</f>
        <v>3.5904133440112069E-3</v>
      </c>
      <c r="Z8" s="7">
        <f>$B8 * IFERROR(VLOOKUP("industry|SO2|Asthma symptoms wheeze", US_national_yearly!$D:$AM, 34, FALSE) / VLOOKUP("industry|SO2|Asthma symptoms wheeze", US_national_yearly!$D:$AM, 10, FALSE), 1)</f>
        <v>3.5904133440112069E-3</v>
      </c>
      <c r="AA8" s="7">
        <f>$B8 * IFERROR(VLOOKUP("industry|SO2|Asthma symptoms wheeze", US_national_yearly!$D:$AM, 35, FALSE) / VLOOKUP("industry|SO2|Asthma symptoms wheeze", US_national_yearly!$D:$AM, 10, FALSE), 1)</f>
        <v>3.5904133440112069E-3</v>
      </c>
      <c r="AB8" s="7">
        <f>$B8 * IFERROR(VLOOKUP("industry|SO2|Asthma symptoms wheeze", US_national_yearly!$D:$AM, 36, FALSE) / VLOOKUP("industry|SO2|Asthma symptoms wheeze", US_national_yearly!$D:$AM, 10, FALSE), 1)</f>
        <v>3.5904133440112069E-3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6.4373945063074119E-5</v>
      </c>
      <c r="C12" s="7">
        <f>$B12 * IFERROR(VLOOKUP("industry|SO2|Respiratory hospital admissions", US_national_yearly!$D:$AM, 11, FALSE) / VLOOKUP("industry|SO2|Respiratory hospital admissions", US_national_yearly!$D:$AM, 10, FALSE), 1)</f>
        <v>6.4751053487962015E-5</v>
      </c>
      <c r="D12" s="7">
        <f>$B12 * IFERROR(VLOOKUP("industry|SO2|Respiratory hospital admissions", US_national_yearly!$D:$AM, 12, FALSE) / VLOOKUP("industry|SO2|Respiratory hospital admissions", US_national_yearly!$D:$AM, 10, FALSE), 1)</f>
        <v>6.5128161912849912E-5</v>
      </c>
      <c r="E12" s="7">
        <f>$B12 * IFERROR(VLOOKUP("industry|SO2|Respiratory hospital admissions", US_national_yearly!$D:$AM, 13, FALSE) / VLOOKUP("industry|SO2|Respiratory hospital admissions", US_national_yearly!$D:$AM, 10, FALSE), 1)</f>
        <v>6.5505270337737809E-5</v>
      </c>
      <c r="F12" s="7">
        <f>$B12 * IFERROR(VLOOKUP("industry|SO2|Respiratory hospital admissions", US_national_yearly!$D:$AM, 14, FALSE) / VLOOKUP("industry|SO2|Respiratory hospital admissions", US_national_yearly!$D:$AM, 10, FALSE), 1)</f>
        <v>6.5882378762625719E-5</v>
      </c>
      <c r="G12" s="7">
        <f>$B12 * IFERROR(VLOOKUP("industry|SO2|Respiratory hospital admissions", US_national_yearly!$D:$AM, 15, FALSE) / VLOOKUP("industry|SO2|Respiratory hospital admissions", US_national_yearly!$D:$AM, 10, FALSE), 1)</f>
        <v>6.6293499894429721E-5</v>
      </c>
      <c r="H12" s="7">
        <f>$B12 * IFERROR(VLOOKUP("industry|SO2|Respiratory hospital admissions", US_national_yearly!$D:$AM, 16, FALSE) / VLOOKUP("industry|SO2|Respiratory hospital admissions", US_national_yearly!$D:$AM, 10, FALSE), 1)</f>
        <v>6.6704621026233711E-5</v>
      </c>
      <c r="I12" s="7">
        <f>$B12 * IFERROR(VLOOKUP("industry|SO2|Respiratory hospital admissions", US_national_yearly!$D:$AM, 17, FALSE) / VLOOKUP("industry|SO2|Respiratory hospital admissions", US_national_yearly!$D:$AM, 10, FALSE), 1)</f>
        <v>6.7108409389658318E-5</v>
      </c>
      <c r="J12" s="7">
        <f>$B12 * IFERROR(VLOOKUP("industry|SO2|Respiratory hospital admissions", US_national_yearly!$D:$AM, 18, FALSE) / VLOOKUP("industry|SO2|Respiratory hospital admissions", US_national_yearly!$D:$AM, 10, FALSE), 1)</f>
        <v>6.7512197753082925E-5</v>
      </c>
      <c r="K12" s="7">
        <f>$B12 * IFERROR(VLOOKUP("industry|SO2|Respiratory hospital admissions", US_national_yearly!$D:$AM, 19, FALSE) / VLOOKUP("industry|SO2|Respiratory hospital admissions", US_national_yearly!$D:$AM, 10, FALSE), 1)</f>
        <v>6.7915986116507518E-5</v>
      </c>
      <c r="L12" s="7">
        <f>$B12 * IFERROR(VLOOKUP("industry|SO2|Respiratory hospital admissions", US_national_yearly!$D:$AM, 20, FALSE) / VLOOKUP("industry|SO2|Respiratory hospital admissions", US_national_yearly!$D:$AM, 10, FALSE), 1)</f>
        <v>6.8319774479932126E-5</v>
      </c>
      <c r="M12" s="7">
        <f>$B12 * IFERROR(VLOOKUP("industry|SO2|Respiratory hospital admissions", US_national_yearly!$D:$AM, 21, FALSE) / VLOOKUP("industry|SO2|Respiratory hospital admissions", US_national_yearly!$D:$AM, 10, FALSE), 1)</f>
        <v>6.8723562843356733E-5</v>
      </c>
      <c r="N12" s="7">
        <f>$B12 * IFERROR(VLOOKUP("industry|SO2|Respiratory hospital admissions", US_national_yearly!$D:$AM, 22, FALSE) / VLOOKUP("industry|SO2|Respiratory hospital admissions", US_national_yearly!$D:$AM, 10, FALSE), 1)</f>
        <v>6.9015749786504669E-5</v>
      </c>
      <c r="O12" s="7">
        <f>$B12 * IFERROR(VLOOKUP("industry|SO2|Respiratory hospital admissions", US_national_yearly!$D:$AM, 23, FALSE) / VLOOKUP("industry|SO2|Respiratory hospital admissions", US_national_yearly!$D:$AM, 10, FALSE), 1)</f>
        <v>6.9307936729652605E-5</v>
      </c>
      <c r="P12" s="7">
        <f>$B12 * IFERROR(VLOOKUP("industry|SO2|Respiratory hospital admissions", US_national_yearly!$D:$AM, 24, FALSE) / VLOOKUP("industry|SO2|Respiratory hospital admissions", US_national_yearly!$D:$AM, 10, FALSE), 1)</f>
        <v>6.9600123672800514E-5</v>
      </c>
      <c r="Q12" s="7">
        <f>$B12 * IFERROR(VLOOKUP("industry|SO2|Respiratory hospital admissions", US_national_yearly!$D:$AM, 25, FALSE) / VLOOKUP("industry|SO2|Respiratory hospital admissions", US_national_yearly!$D:$AM, 10, FALSE), 1)</f>
        <v>6.989231061594845E-5</v>
      </c>
      <c r="R12" s="7">
        <f>$B12 * IFERROR(VLOOKUP("industry|SO2|Respiratory hospital admissions", US_national_yearly!$D:$AM, 26, FALSE) / VLOOKUP("industry|SO2|Respiratory hospital admissions", US_national_yearly!$D:$AM, 10, FALSE), 1)</f>
        <v>7.0184497559096372E-5</v>
      </c>
      <c r="S12" s="7">
        <f>$B12 * IFERROR(VLOOKUP("industry|SO2|Respiratory hospital admissions", US_national_yearly!$D:$AM, 27, FALSE) / VLOOKUP("industry|SO2|Respiratory hospital admissions", US_national_yearly!$D:$AM, 10, FALSE), 1)</f>
        <v>7.0462176585585527E-5</v>
      </c>
      <c r="T12" s="7">
        <f>$B12 * IFERROR(VLOOKUP("industry|SO2|Respiratory hospital admissions", US_national_yearly!$D:$AM, 28, FALSE) / VLOOKUP("industry|SO2|Respiratory hospital admissions", US_national_yearly!$D:$AM, 10, FALSE), 1)</f>
        <v>7.0739855612074668E-5</v>
      </c>
      <c r="U12" s="7">
        <f>$B12 * IFERROR(VLOOKUP("industry|SO2|Respiratory hospital admissions", US_national_yearly!$D:$AM, 29, FALSE) / VLOOKUP("industry|SO2|Respiratory hospital admissions", US_national_yearly!$D:$AM, 10, FALSE), 1)</f>
        <v>7.1017534638563809E-5</v>
      </c>
      <c r="V12" s="7">
        <f>$B12 * IFERROR(VLOOKUP("industry|SO2|Respiratory hospital admissions", US_national_yearly!$D:$AM, 30, FALSE) / VLOOKUP("industry|SO2|Respiratory hospital admissions", US_national_yearly!$D:$AM, 10, FALSE), 1)</f>
        <v>7.1295213665052964E-5</v>
      </c>
      <c r="W12" s="7">
        <f>$B12 * IFERROR(VLOOKUP("industry|SO2|Respiratory hospital admissions", US_national_yearly!$D:$AM, 31, FALSE) / VLOOKUP("industry|SO2|Respiratory hospital admissions", US_national_yearly!$D:$AM, 10, FALSE), 1)</f>
        <v>7.1572892691542091E-5</v>
      </c>
      <c r="X12" s="7">
        <f>$B12 * IFERROR(VLOOKUP("industry|SO2|Respiratory hospital admissions", US_national_yearly!$D:$AM, 32, FALSE) / VLOOKUP("industry|SO2|Respiratory hospital admissions", US_national_yearly!$D:$AM, 10, FALSE), 1)</f>
        <v>7.1836580866359239E-5</v>
      </c>
      <c r="Y12" s="7">
        <f>$B12 * IFERROR(VLOOKUP("industry|SO2|Respiratory hospital admissions", US_national_yearly!$D:$AM, 33, FALSE) / VLOOKUP("industry|SO2|Respiratory hospital admissions", US_national_yearly!$D:$AM, 10, FALSE), 1)</f>
        <v>7.2100269041176399E-5</v>
      </c>
      <c r="Z12" s="7">
        <f>$B12 * IFERROR(VLOOKUP("industry|SO2|Respiratory hospital admissions", US_national_yearly!$D:$AM, 34, FALSE) / VLOOKUP("industry|SO2|Respiratory hospital admissions", US_national_yearly!$D:$AM, 10, FALSE), 1)</f>
        <v>7.2363957215993547E-5</v>
      </c>
      <c r="AA12" s="7">
        <f>$B12 * IFERROR(VLOOKUP("industry|SO2|Respiratory hospital admissions", US_national_yearly!$D:$AM, 35, FALSE) / VLOOKUP("industry|SO2|Respiratory hospital admissions", US_national_yearly!$D:$AM, 10, FALSE), 1)</f>
        <v>7.2627645390810694E-5</v>
      </c>
      <c r="AB12" s="7">
        <f>$B12 * IFERROR(VLOOKUP("industry|SO2|Respiratory hospital admissions", US_national_yearly!$D:$AM, 36, FALSE) / VLOOKUP("industry|SO2|Respiratory hospital admissions", US_national_yearly!$D:$AM, 10, FALSE), 1)</f>
        <v>7.2891333565627855E-5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3.3081914687382456E-4</v>
      </c>
      <c r="C13" s="7">
        <f>$B13 * IFERROR(VLOOKUP("industry|SO2|Non-fatal heart attacks", US_national_yearly!$D:$AM, 11, FALSE) / VLOOKUP("industry|SO2|Non-fatal heart attacks", US_national_yearly!$D:$AM, 10, FALSE), 1)</f>
        <v>3.4053075647556293E-4</v>
      </c>
      <c r="D13" s="7">
        <f>$B13 * IFERROR(VLOOKUP("industry|SO2|Non-fatal heart attacks", US_national_yearly!$D:$AM, 12, FALSE) / VLOOKUP("industry|SO2|Non-fatal heart attacks", US_national_yearly!$D:$AM, 10, FALSE), 1)</f>
        <v>3.5024236607730124E-4</v>
      </c>
      <c r="E13" s="7">
        <f>$B13 * IFERROR(VLOOKUP("industry|SO2|Non-fatal heart attacks", US_national_yearly!$D:$AM, 13, FALSE) / VLOOKUP("industry|SO2|Non-fatal heart attacks", US_national_yearly!$D:$AM, 10, FALSE), 1)</f>
        <v>3.5995397567903956E-4</v>
      </c>
      <c r="F13" s="7">
        <f>$B13 * IFERROR(VLOOKUP("industry|SO2|Non-fatal heart attacks", US_national_yearly!$D:$AM, 14, FALSE) / VLOOKUP("industry|SO2|Non-fatal heart attacks", US_national_yearly!$D:$AM, 10, FALSE), 1)</f>
        <v>3.6966558528077798E-4</v>
      </c>
      <c r="G13" s="7">
        <f>$B13 * IFERROR(VLOOKUP("industry|SO2|Non-fatal heart attacks", US_national_yearly!$D:$AM, 15, FALSE) / VLOOKUP("industry|SO2|Non-fatal heart attacks", US_national_yearly!$D:$AM, 10, FALSE), 1)</f>
        <v>3.7883062415293602E-4</v>
      </c>
      <c r="H13" s="7">
        <f>$B13 * IFERROR(VLOOKUP("industry|SO2|Non-fatal heart attacks", US_national_yearly!$D:$AM, 16, FALSE) / VLOOKUP("industry|SO2|Non-fatal heart attacks", US_national_yearly!$D:$AM, 10, FALSE), 1)</f>
        <v>3.8799566302509417E-4</v>
      </c>
      <c r="I13" s="7">
        <f>$B13 * IFERROR(VLOOKUP("industry|SO2|Non-fatal heart attacks", US_national_yearly!$D:$AM, 17, FALSE) / VLOOKUP("industry|SO2|Non-fatal heart attacks", US_national_yearly!$D:$AM, 10, FALSE), 1)</f>
        <v>3.9538427076972373E-4</v>
      </c>
      <c r="J13" s="7">
        <f>$B13 * IFERROR(VLOOKUP("industry|SO2|Non-fatal heart attacks", US_national_yearly!$D:$AM, 18, FALSE) / VLOOKUP("industry|SO2|Non-fatal heart attacks", US_national_yearly!$D:$AM, 10, FALSE), 1)</f>
        <v>4.0277287851435341E-4</v>
      </c>
      <c r="K13" s="7">
        <f>$B13 * IFERROR(VLOOKUP("industry|SO2|Non-fatal heart attacks", US_national_yearly!$D:$AM, 19, FALSE) / VLOOKUP("industry|SO2|Non-fatal heart attacks", US_national_yearly!$D:$AM, 10, FALSE), 1)</f>
        <v>4.1016148625898298E-4</v>
      </c>
      <c r="L13" s="7">
        <f>$B13 * IFERROR(VLOOKUP("industry|SO2|Non-fatal heart attacks", US_national_yearly!$D:$AM, 20, FALSE) / VLOOKUP("industry|SO2|Non-fatal heart attacks", US_national_yearly!$D:$AM, 10, FALSE), 1)</f>
        <v>4.175500940036126E-4</v>
      </c>
      <c r="M13" s="7">
        <f>$B13 * IFERROR(VLOOKUP("industry|SO2|Non-fatal heart attacks", US_national_yearly!$D:$AM, 21, FALSE) / VLOOKUP("industry|SO2|Non-fatal heart attacks", US_national_yearly!$D:$AM, 10, FALSE), 1)</f>
        <v>4.2493870174824217E-4</v>
      </c>
      <c r="N13" s="7">
        <f>$B13 * IFERROR(VLOOKUP("industry|SO2|Non-fatal heart attacks", US_national_yearly!$D:$AM, 22, FALSE) / VLOOKUP("industry|SO2|Non-fatal heart attacks", US_national_yearly!$D:$AM, 10, FALSE), 1)</f>
        <v>4.2973873497402509E-4</v>
      </c>
      <c r="O13" s="7">
        <f>$B13 * IFERROR(VLOOKUP("industry|SO2|Non-fatal heart attacks", US_national_yearly!$D:$AM, 23, FALSE) / VLOOKUP("industry|SO2|Non-fatal heart attacks", US_national_yearly!$D:$AM, 10, FALSE), 1)</f>
        <v>4.3453876819980817E-4</v>
      </c>
      <c r="P13" s="7">
        <f>$B13 * IFERROR(VLOOKUP("industry|SO2|Non-fatal heart attacks", US_national_yearly!$D:$AM, 24, FALSE) / VLOOKUP("industry|SO2|Non-fatal heart attacks", US_national_yearly!$D:$AM, 10, FALSE), 1)</f>
        <v>4.3933880142559109E-4</v>
      </c>
      <c r="Q13" s="7">
        <f>$B13 * IFERROR(VLOOKUP("industry|SO2|Non-fatal heart attacks", US_national_yearly!$D:$AM, 25, FALSE) / VLOOKUP("industry|SO2|Non-fatal heart attacks", US_national_yearly!$D:$AM, 10, FALSE), 1)</f>
        <v>4.4413883465137401E-4</v>
      </c>
      <c r="R13" s="7">
        <f>$B13 * IFERROR(VLOOKUP("industry|SO2|Non-fatal heart attacks", US_national_yearly!$D:$AM, 26, FALSE) / VLOOKUP("industry|SO2|Non-fatal heart attacks", US_national_yearly!$D:$AM, 10, FALSE), 1)</f>
        <v>4.4893886787715698E-4</v>
      </c>
      <c r="S13" s="7">
        <f>$B13 * IFERROR(VLOOKUP("industry|SO2|Non-fatal heart attacks", US_national_yearly!$D:$AM, 27, FALSE) / VLOOKUP("industry|SO2|Non-fatal heart attacks", US_national_yearly!$D:$AM, 10, FALSE), 1)</f>
        <v>4.5145991590207047E-4</v>
      </c>
      <c r="T13" s="7">
        <f>$B13 * IFERROR(VLOOKUP("industry|SO2|Non-fatal heart attacks", US_national_yearly!$D:$AM, 28, FALSE) / VLOOKUP("industry|SO2|Non-fatal heart attacks", US_national_yearly!$D:$AM, 10, FALSE), 1)</f>
        <v>4.5398096392698395E-4</v>
      </c>
      <c r="U13" s="7">
        <f>$B13 * IFERROR(VLOOKUP("industry|SO2|Non-fatal heart attacks", US_national_yearly!$D:$AM, 29, FALSE) / VLOOKUP("industry|SO2|Non-fatal heart attacks", US_national_yearly!$D:$AM, 10, FALSE), 1)</f>
        <v>4.5650201195189744E-4</v>
      </c>
      <c r="V13" s="7">
        <f>$B13 * IFERROR(VLOOKUP("industry|SO2|Non-fatal heart attacks", US_national_yearly!$D:$AM, 30, FALSE) / VLOOKUP("industry|SO2|Non-fatal heart attacks", US_national_yearly!$D:$AM, 10, FALSE), 1)</f>
        <v>4.5902305997681092E-4</v>
      </c>
      <c r="W13" s="7">
        <f>$B13 * IFERROR(VLOOKUP("industry|SO2|Non-fatal heart attacks", US_national_yearly!$D:$AM, 31, FALSE) / VLOOKUP("industry|SO2|Non-fatal heart attacks", US_national_yearly!$D:$AM, 10, FALSE), 1)</f>
        <v>4.6154410800172441E-4</v>
      </c>
      <c r="X13" s="7">
        <f>$B13 * IFERROR(VLOOKUP("industry|SO2|Non-fatal heart attacks", US_national_yearly!$D:$AM, 32, FALSE) / VLOOKUP("industry|SO2|Non-fatal heart attacks", US_national_yearly!$D:$AM, 10, FALSE), 1)</f>
        <v>4.6345877122651617E-4</v>
      </c>
      <c r="Y13" s="7">
        <f>$B13 * IFERROR(VLOOKUP("industry|SO2|Non-fatal heart attacks", US_national_yearly!$D:$AM, 33, FALSE) / VLOOKUP("industry|SO2|Non-fatal heart attacks", US_national_yearly!$D:$AM, 10, FALSE), 1)</f>
        <v>4.6537343445130793E-4</v>
      </c>
      <c r="Z13" s="7">
        <f>$B13 * IFERROR(VLOOKUP("industry|SO2|Non-fatal heart attacks", US_national_yearly!$D:$AM, 34, FALSE) / VLOOKUP("industry|SO2|Non-fatal heart attacks", US_national_yearly!$D:$AM, 10, FALSE), 1)</f>
        <v>4.6728809767609974E-4</v>
      </c>
      <c r="AA13" s="7">
        <f>$B13 * IFERROR(VLOOKUP("industry|SO2|Non-fatal heart attacks", US_national_yearly!$D:$AM, 35, FALSE) / VLOOKUP("industry|SO2|Non-fatal heart attacks", US_national_yearly!$D:$AM, 10, FALSE), 1)</f>
        <v>4.6920276090089155E-4</v>
      </c>
      <c r="AB13" s="7">
        <f>$B13 * IFERROR(VLOOKUP("industry|SO2|Non-fatal heart attacks", US_national_yearly!$D:$AM, 36, FALSE) / VLOOKUP("industry|SO2|Non-fatal heart attacks", US_national_yearly!$D:$AM, 10, FALSE), 1)</f>
        <v>4.7111742412568337E-4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0.2043943207281945</v>
      </c>
      <c r="C14" s="7">
        <f>$B14 * IFERROR(VLOOKUP("industry|SO2|Minor restricted activity days", US_national_yearly!$D:$AM, 11, FALSE) / VLOOKUP("industry|SO2|Minor restricted activity days", US_national_yearly!$D:$AM, 10, FALSE), 1)</f>
        <v>0.20490559044308232</v>
      </c>
      <c r="D14" s="7">
        <f>$B14 * IFERROR(VLOOKUP("industry|SO2|Minor restricted activity days", US_national_yearly!$D:$AM, 12, FALSE) / VLOOKUP("industry|SO2|Minor restricted activity days", US_national_yearly!$D:$AM, 10, FALSE), 1)</f>
        <v>0.20541686015797009</v>
      </c>
      <c r="E14" s="7">
        <f>$B14 * IFERROR(VLOOKUP("industry|SO2|Minor restricted activity days", US_national_yearly!$D:$AM, 13, FALSE) / VLOOKUP("industry|SO2|Minor restricted activity days", US_national_yearly!$D:$AM, 10, FALSE), 1)</f>
        <v>0.20592812987285788</v>
      </c>
      <c r="F14" s="7">
        <f>$B14 * IFERROR(VLOOKUP("industry|SO2|Minor restricted activity days", US_national_yearly!$D:$AM, 14, FALSE) / VLOOKUP("industry|SO2|Minor restricted activity days", US_national_yearly!$D:$AM, 10, FALSE), 1)</f>
        <v>0.20643939958774571</v>
      </c>
      <c r="G14" s="7">
        <f>$B14 * IFERROR(VLOOKUP("industry|SO2|Minor restricted activity days", US_national_yearly!$D:$AM, 15, FALSE) / VLOOKUP("industry|SO2|Minor restricted activity days", US_national_yearly!$D:$AM, 10, FALSE), 1)</f>
        <v>0.20719152605584953</v>
      </c>
      <c r="H14" s="7">
        <f>$B14 * IFERROR(VLOOKUP("industry|SO2|Minor restricted activity days", US_national_yearly!$D:$AM, 16, FALSE) / VLOOKUP("industry|SO2|Minor restricted activity days", US_national_yearly!$D:$AM, 10, FALSE), 1)</f>
        <v>0.2079436525239533</v>
      </c>
      <c r="I14" s="7">
        <f>$B14 * IFERROR(VLOOKUP("industry|SO2|Minor restricted activity days", US_national_yearly!$D:$AM, 17, FALSE) / VLOOKUP("industry|SO2|Minor restricted activity days", US_national_yearly!$D:$AM, 10, FALSE), 1)</f>
        <v>0.20922625565317382</v>
      </c>
      <c r="J14" s="7">
        <f>$B14 * IFERROR(VLOOKUP("industry|SO2|Minor restricted activity days", US_national_yearly!$D:$AM, 18, FALSE) / VLOOKUP("industry|SO2|Minor restricted activity days", US_national_yearly!$D:$AM, 10, FALSE), 1)</f>
        <v>0.21050885878239436</v>
      </c>
      <c r="K14" s="7">
        <f>$B14 * IFERROR(VLOOKUP("industry|SO2|Minor restricted activity days", US_national_yearly!$D:$AM, 19, FALSE) / VLOOKUP("industry|SO2|Minor restricted activity days", US_national_yearly!$D:$AM, 10, FALSE), 1)</f>
        <v>0.21179146191161488</v>
      </c>
      <c r="L14" s="7">
        <f>$B14 * IFERROR(VLOOKUP("industry|SO2|Minor restricted activity days", US_national_yearly!$D:$AM, 20, FALSE) / VLOOKUP("industry|SO2|Minor restricted activity days", US_national_yearly!$D:$AM, 10, FALSE), 1)</f>
        <v>0.2130740650408354</v>
      </c>
      <c r="M14" s="7">
        <f>$B14 * IFERROR(VLOOKUP("industry|SO2|Minor restricted activity days", US_national_yearly!$D:$AM, 21, FALSE) / VLOOKUP("industry|SO2|Minor restricted activity days", US_national_yearly!$D:$AM, 10, FALSE), 1)</f>
        <v>0.21435666817005594</v>
      </c>
      <c r="N14" s="7">
        <f>$B14 * IFERROR(VLOOKUP("industry|SO2|Minor restricted activity days", US_national_yearly!$D:$AM, 22, FALSE) / VLOOKUP("industry|SO2|Minor restricted activity days", US_national_yearly!$D:$AM, 10, FALSE), 1)</f>
        <v>0.21611527131532784</v>
      </c>
      <c r="O14" s="7">
        <f>$B14 * IFERROR(VLOOKUP("industry|SO2|Minor restricted activity days", US_national_yearly!$D:$AM, 23, FALSE) / VLOOKUP("industry|SO2|Minor restricted activity days", US_national_yearly!$D:$AM, 10, FALSE), 1)</f>
        <v>0.21787387446059975</v>
      </c>
      <c r="P14" s="7">
        <f>$B14 * IFERROR(VLOOKUP("industry|SO2|Minor restricted activity days", US_national_yearly!$D:$AM, 24, FALSE) / VLOOKUP("industry|SO2|Minor restricted activity days", US_national_yearly!$D:$AM, 10, FALSE), 1)</f>
        <v>0.21963247760587162</v>
      </c>
      <c r="Q14" s="7">
        <f>$B14 * IFERROR(VLOOKUP("industry|SO2|Minor restricted activity days", US_national_yearly!$D:$AM, 25, FALSE) / VLOOKUP("industry|SO2|Minor restricted activity days", US_national_yearly!$D:$AM, 10, FALSE), 1)</f>
        <v>0.22139108075114358</v>
      </c>
      <c r="R14" s="7">
        <f>$B14 * IFERROR(VLOOKUP("industry|SO2|Minor restricted activity days", US_national_yearly!$D:$AM, 26, FALSE) / VLOOKUP("industry|SO2|Minor restricted activity days", US_national_yearly!$D:$AM, 10, FALSE), 1)</f>
        <v>0.22314968389641548</v>
      </c>
      <c r="S14" s="7">
        <f>$B14 * IFERROR(VLOOKUP("industry|SO2|Minor restricted activity days", US_national_yearly!$D:$AM, 27, FALSE) / VLOOKUP("industry|SO2|Minor restricted activity days", US_national_yearly!$D:$AM, 10, FALSE), 1)</f>
        <v>0.22494448043444462</v>
      </c>
      <c r="T14" s="7">
        <f>$B14 * IFERROR(VLOOKUP("industry|SO2|Minor restricted activity days", US_national_yearly!$D:$AM, 28, FALSE) / VLOOKUP("industry|SO2|Minor restricted activity days", US_national_yearly!$D:$AM, 10, FALSE), 1)</f>
        <v>0.22673927697247384</v>
      </c>
      <c r="U14" s="7">
        <f>$B14 * IFERROR(VLOOKUP("industry|SO2|Minor restricted activity days", US_national_yearly!$D:$AM, 29, FALSE) / VLOOKUP("industry|SO2|Minor restricted activity days", US_national_yearly!$D:$AM, 10, FALSE), 1)</f>
        <v>0.22853407351050301</v>
      </c>
      <c r="V14" s="7">
        <f>$B14 * IFERROR(VLOOKUP("industry|SO2|Minor restricted activity days", US_national_yearly!$D:$AM, 30, FALSE) / VLOOKUP("industry|SO2|Minor restricted activity days", US_national_yearly!$D:$AM, 10, FALSE), 1)</f>
        <v>0.2303288700485322</v>
      </c>
      <c r="W14" s="7">
        <f>$B14 * IFERROR(VLOOKUP("industry|SO2|Minor restricted activity days", US_national_yearly!$D:$AM, 31, FALSE) / VLOOKUP("industry|SO2|Minor restricted activity days", US_national_yearly!$D:$AM, 10, FALSE), 1)</f>
        <v>0.23212366658656136</v>
      </c>
      <c r="X14" s="7">
        <f>$B14 * IFERROR(VLOOKUP("industry|SO2|Minor restricted activity days", US_national_yearly!$D:$AM, 32, FALSE) / VLOOKUP("industry|SO2|Minor restricted activity days", US_national_yearly!$D:$AM, 10, FALSE), 1)</f>
        <v>0.2337018170168878</v>
      </c>
      <c r="Y14" s="7">
        <f>$B14 * IFERROR(VLOOKUP("industry|SO2|Minor restricted activity days", US_national_yearly!$D:$AM, 33, FALSE) / VLOOKUP("industry|SO2|Minor restricted activity days", US_national_yearly!$D:$AM, 10, FALSE), 1)</f>
        <v>0.23527996744721422</v>
      </c>
      <c r="Z14" s="7">
        <f>$B14 * IFERROR(VLOOKUP("industry|SO2|Minor restricted activity days", US_national_yearly!$D:$AM, 34, FALSE) / VLOOKUP("industry|SO2|Minor restricted activity days", US_national_yearly!$D:$AM, 10, FALSE), 1)</f>
        <v>0.23685811787754063</v>
      </c>
      <c r="AA14" s="7">
        <f>$B14 * IFERROR(VLOOKUP("industry|SO2|Minor restricted activity days", US_national_yearly!$D:$AM, 35, FALSE) / VLOOKUP("industry|SO2|Minor restricted activity days", US_national_yearly!$D:$AM, 10, FALSE), 1)</f>
        <v>0.23843626830786704</v>
      </c>
      <c r="AB14" s="7">
        <f>$B14 * IFERROR(VLOOKUP("industry|SO2|Minor restricted activity days", US_national_yearly!$D:$AM, 36, FALSE) / VLOOKUP("industry|SO2|Minor restricted activity days", US_national_yearly!$D:$AM, 10, FALSE), 1)</f>
        <v>0.24001441873819351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3.4217018052294282E-2</v>
      </c>
      <c r="C15" s="7">
        <f>$B15 * IFERROR(VLOOKUP("industry|SO2|Work loss days", US_national_yearly!$D:$AM, 11, FALSE) / VLOOKUP("industry|SO2|Work loss days", US_national_yearly!$D:$AM, 10, FALSE), 1)</f>
        <v>3.4327056116618841E-2</v>
      </c>
      <c r="D15" s="7">
        <f>$B15 * IFERROR(VLOOKUP("industry|SO2|Work loss days", US_national_yearly!$D:$AM, 12, FALSE) / VLOOKUP("industry|SO2|Work loss days", US_national_yearly!$D:$AM, 10, FALSE), 1)</f>
        <v>3.4437094180943408E-2</v>
      </c>
      <c r="E15" s="7">
        <f>$B15 * IFERROR(VLOOKUP("industry|SO2|Work loss days", US_national_yearly!$D:$AM, 13, FALSE) / VLOOKUP("industry|SO2|Work loss days", US_national_yearly!$D:$AM, 10, FALSE), 1)</f>
        <v>3.4547132245267967E-2</v>
      </c>
      <c r="F15" s="7">
        <f>$B15 * IFERROR(VLOOKUP("industry|SO2|Work loss days", US_national_yearly!$D:$AM, 14, FALSE) / VLOOKUP("industry|SO2|Work loss days", US_national_yearly!$D:$AM, 10, FALSE), 1)</f>
        <v>3.465717030959254E-2</v>
      </c>
      <c r="G15" s="7">
        <f>$B15 * IFERROR(VLOOKUP("industry|SO2|Work loss days", US_national_yearly!$D:$AM, 15, FALSE) / VLOOKUP("industry|SO2|Work loss days", US_national_yearly!$D:$AM, 10, FALSE), 1)</f>
        <v>3.4800799720025498E-2</v>
      </c>
      <c r="H15" s="7">
        <f>$B15 * IFERROR(VLOOKUP("industry|SO2|Work loss days", US_national_yearly!$D:$AM, 16, FALSE) / VLOOKUP("industry|SO2|Work loss days", US_national_yearly!$D:$AM, 10, FALSE), 1)</f>
        <v>3.4944429130458469E-2</v>
      </c>
      <c r="I15" s="7">
        <f>$B15 * IFERROR(VLOOKUP("industry|SO2|Work loss days", US_national_yearly!$D:$AM, 17, FALSE) / VLOOKUP("industry|SO2|Work loss days", US_national_yearly!$D:$AM, 10, FALSE), 1)</f>
        <v>3.5154374855773211E-2</v>
      </c>
      <c r="J15" s="7">
        <f>$B15 * IFERROR(VLOOKUP("industry|SO2|Work loss days", US_national_yearly!$D:$AM, 18, FALSE) / VLOOKUP("industry|SO2|Work loss days", US_national_yearly!$D:$AM, 10, FALSE), 1)</f>
        <v>3.5364320581087946E-2</v>
      </c>
      <c r="K15" s="7">
        <f>$B15 * IFERROR(VLOOKUP("industry|SO2|Work loss days", US_national_yearly!$D:$AM, 19, FALSE) / VLOOKUP("industry|SO2|Work loss days", US_national_yearly!$D:$AM, 10, FALSE), 1)</f>
        <v>3.5574266306402681E-2</v>
      </c>
      <c r="L15" s="7">
        <f>$B15 * IFERROR(VLOOKUP("industry|SO2|Work loss days", US_national_yearly!$D:$AM, 20, FALSE) / VLOOKUP("industry|SO2|Work loss days", US_national_yearly!$D:$AM, 10, FALSE), 1)</f>
        <v>3.578421203171743E-2</v>
      </c>
      <c r="M15" s="7">
        <f>$B15 * IFERROR(VLOOKUP("industry|SO2|Work loss days", US_national_yearly!$D:$AM, 21, FALSE) / VLOOKUP("industry|SO2|Work loss days", US_national_yearly!$D:$AM, 10, FALSE), 1)</f>
        <v>3.5994157757032165E-2</v>
      </c>
      <c r="N15" s="7">
        <f>$B15 * IFERROR(VLOOKUP("industry|SO2|Work loss days", US_national_yearly!$D:$AM, 22, FALSE) / VLOOKUP("industry|SO2|Work loss days", US_national_yearly!$D:$AM, 10, FALSE), 1)</f>
        <v>3.6258028625683218E-2</v>
      </c>
      <c r="O15" s="7">
        <f>$B15 * IFERROR(VLOOKUP("industry|SO2|Work loss days", US_national_yearly!$D:$AM, 23, FALSE) / VLOOKUP("industry|SO2|Work loss days", US_national_yearly!$D:$AM, 10, FALSE), 1)</f>
        <v>3.6521899494334278E-2</v>
      </c>
      <c r="P15" s="7">
        <f>$B15 * IFERROR(VLOOKUP("industry|SO2|Work loss days", US_national_yearly!$D:$AM, 24, FALSE) / VLOOKUP("industry|SO2|Work loss days", US_national_yearly!$D:$AM, 10, FALSE), 1)</f>
        <v>3.6785770362985332E-2</v>
      </c>
      <c r="Q15" s="7">
        <f>$B15 * IFERROR(VLOOKUP("industry|SO2|Work loss days", US_national_yearly!$D:$AM, 25, FALSE) / VLOOKUP("industry|SO2|Work loss days", US_national_yearly!$D:$AM, 10, FALSE), 1)</f>
        <v>3.7049641231636392E-2</v>
      </c>
      <c r="R15" s="7">
        <f>$B15 * IFERROR(VLOOKUP("industry|SO2|Work loss days", US_national_yearly!$D:$AM, 26, FALSE) / VLOOKUP("industry|SO2|Work loss days", US_national_yearly!$D:$AM, 10, FALSE), 1)</f>
        <v>3.7313512100287452E-2</v>
      </c>
      <c r="S15" s="7">
        <f>$B15 * IFERROR(VLOOKUP("industry|SO2|Work loss days", US_national_yearly!$D:$AM, 27, FALSE) / VLOOKUP("industry|SO2|Work loss days", US_national_yearly!$D:$AM, 10, FALSE), 1)</f>
        <v>3.7608772727498262E-2</v>
      </c>
      <c r="T15" s="7">
        <f>$B15 * IFERROR(VLOOKUP("industry|SO2|Work loss days", US_national_yearly!$D:$AM, 28, FALSE) / VLOOKUP("industry|SO2|Work loss days", US_national_yearly!$D:$AM, 10, FALSE), 1)</f>
        <v>3.7904033354709085E-2</v>
      </c>
      <c r="U15" s="7">
        <f>$B15 * IFERROR(VLOOKUP("industry|SO2|Work loss days", US_national_yearly!$D:$AM, 29, FALSE) / VLOOKUP("industry|SO2|Work loss days", US_national_yearly!$D:$AM, 10, FALSE), 1)</f>
        <v>3.8199293981919923E-2</v>
      </c>
      <c r="V15" s="7">
        <f>$B15 * IFERROR(VLOOKUP("industry|SO2|Work loss days", US_national_yearly!$D:$AM, 30, FALSE) / VLOOKUP("industry|SO2|Work loss days", US_national_yearly!$D:$AM, 10, FALSE), 1)</f>
        <v>3.8494554609130732E-2</v>
      </c>
      <c r="W15" s="7">
        <f>$B15 * IFERROR(VLOOKUP("industry|SO2|Work loss days", US_national_yearly!$D:$AM, 31, FALSE) / VLOOKUP("industry|SO2|Work loss days", US_national_yearly!$D:$AM, 10, FALSE), 1)</f>
        <v>3.8789815236341556E-2</v>
      </c>
      <c r="X15" s="7">
        <f>$B15 * IFERROR(VLOOKUP("industry|SO2|Work loss days", US_national_yearly!$D:$AM, 32, FALSE) / VLOOKUP("industry|SO2|Work loss days", US_national_yearly!$D:$AM, 10, FALSE), 1)</f>
        <v>3.9055010328265867E-2</v>
      </c>
      <c r="Y15" s="7">
        <f>$B15 * IFERROR(VLOOKUP("industry|SO2|Work loss days", US_national_yearly!$D:$AM, 33, FALSE) / VLOOKUP("industry|SO2|Work loss days", US_national_yearly!$D:$AM, 10, FALSE), 1)</f>
        <v>3.9320205420190185E-2</v>
      </c>
      <c r="Z15" s="7">
        <f>$B15 * IFERROR(VLOOKUP("industry|SO2|Work loss days", US_national_yearly!$D:$AM, 34, FALSE) / VLOOKUP("industry|SO2|Work loss days", US_national_yearly!$D:$AM, 10, FALSE), 1)</f>
        <v>3.9585400512114489E-2</v>
      </c>
      <c r="AA15" s="7">
        <f>$B15 * IFERROR(VLOOKUP("industry|SO2|Work loss days", US_national_yearly!$D:$AM, 35, FALSE) / VLOOKUP("industry|SO2|Work loss days", US_national_yearly!$D:$AM, 10, FALSE), 1)</f>
        <v>3.9850595604038808E-2</v>
      </c>
      <c r="AB15" s="7">
        <f>$B15 * IFERROR(VLOOKUP("industry|SO2|Work loss days", US_national_yearly!$D:$AM, 36, FALSE) / VLOOKUP("industry|SO2|Work loss days", US_national_yearly!$D:$AM, 10, FALSE), 1)</f>
        <v>4.0115790695963119E-2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8.5550990395546789E-5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8.8137812504236255E-5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9.0724634612925734E-5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9.3311456721615214E-5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9.5898278830304693E-5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9.8377387453613027E-5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1.0085649607692135E-4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1.0298365808549826E-4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1.051108200940752E-4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1.0723798210265214E-4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1.0936514411122906E-4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1.1149230611980599E-4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1.1292144886379001E-4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1.1435059160777403E-4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1.1577973435175804E-4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1.1720887709574206E-4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1.1863801983972609E-4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1.1939369511715466E-4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1.2014937039458328E-4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1.2090504567201186E-4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1.2166072094944047E-4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1.2241639622686905E-4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1.229274330721259E-4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1.2343846991738272E-4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1.239495067626396E-4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1.2446054360789645E-4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1.2497158045315327E-4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1.280521060061467E-4</v>
      </c>
      <c r="C2" s="7">
        <f>$B2 * IFERROR(VLOOKUP("LULUCF|PM25|Premature mortality", US_national_yearly!$D:$AM, 11, FALSE) / VLOOKUP("LULUCF|PM25|Premature mortality", US_national_yearly!$D:$AM, 10, FALSE), 1)</f>
        <v>1.2963967149620819E-4</v>
      </c>
      <c r="D2" s="7">
        <f>$B2 * IFERROR(VLOOKUP("LULUCF|PM25|Premature mortality", US_national_yearly!$D:$AM, 12, FALSE) / VLOOKUP("LULUCF|PM25|Premature mortality", US_national_yearly!$D:$AM, 10, FALSE), 1)</f>
        <v>1.3122723698626965E-4</v>
      </c>
      <c r="E2" s="7">
        <f>$B2 * IFERROR(VLOOKUP("LULUCF|PM25|Premature mortality", US_national_yearly!$D:$AM, 13, FALSE) / VLOOKUP("LULUCF|PM25|Premature mortality", US_national_yearly!$D:$AM, 10, FALSE), 1)</f>
        <v>1.3281480247633111E-4</v>
      </c>
      <c r="F2" s="7">
        <f>$B2 * IFERROR(VLOOKUP("LULUCF|PM25|Premature mortality", US_national_yearly!$D:$AM, 14, FALSE) / VLOOKUP("LULUCF|PM25|Premature mortality", US_national_yearly!$D:$AM, 10, FALSE), 1)</f>
        <v>1.3440236796639256E-4</v>
      </c>
      <c r="G2" s="7">
        <f>$B2 * IFERROR(VLOOKUP("LULUCF|PM25|Premature mortality", US_national_yearly!$D:$AM, 15, FALSE) / VLOOKUP("LULUCF|PM25|Premature mortality", US_national_yearly!$D:$AM, 10, FALSE), 1)</f>
        <v>1.3749413978515176E-4</v>
      </c>
      <c r="H2" s="7">
        <f>$B2 * IFERROR(VLOOKUP("LULUCF|PM25|Premature mortality", US_national_yearly!$D:$AM, 16, FALSE) / VLOOKUP("LULUCF|PM25|Premature mortality", US_national_yearly!$D:$AM, 10, FALSE), 1)</f>
        <v>1.4058591160391097E-4</v>
      </c>
      <c r="I2" s="7">
        <f>$B2 * IFERROR(VLOOKUP("LULUCF|PM25|Premature mortality", US_national_yearly!$D:$AM, 17, FALSE) / VLOOKUP("LULUCF|PM25|Premature mortality", US_national_yearly!$D:$AM, 10, FALSE), 1)</f>
        <v>1.4261671748302544E-4</v>
      </c>
      <c r="J2" s="7">
        <f>$B2 * IFERROR(VLOOKUP("LULUCF|PM25|Premature mortality", US_national_yearly!$D:$AM, 18, FALSE) / VLOOKUP("LULUCF|PM25|Premature mortality", US_national_yearly!$D:$AM, 10, FALSE), 1)</f>
        <v>1.4464752336214E-4</v>
      </c>
      <c r="K2" s="7">
        <f>$B2 * IFERROR(VLOOKUP("LULUCF|PM25|Premature mortality", US_national_yearly!$D:$AM, 19, FALSE) / VLOOKUP("LULUCF|PM25|Premature mortality", US_national_yearly!$D:$AM, 10, FALSE), 1)</f>
        <v>1.4667832924125451E-4</v>
      </c>
      <c r="L2" s="7">
        <f>$B2 * IFERROR(VLOOKUP("LULUCF|PM25|Premature mortality", US_national_yearly!$D:$AM, 20, FALSE) / VLOOKUP("LULUCF|PM25|Premature mortality", US_national_yearly!$D:$AM, 10, FALSE), 1)</f>
        <v>1.4870913512036904E-4</v>
      </c>
      <c r="M2" s="7">
        <f>$B2 * IFERROR(VLOOKUP("LULUCF|PM25|Premature mortality", US_national_yearly!$D:$AM, 21, FALSE) / VLOOKUP("LULUCF|PM25|Premature mortality", US_national_yearly!$D:$AM, 10, FALSE), 1)</f>
        <v>1.5073994099948354E-4</v>
      </c>
      <c r="N2" s="7">
        <f>$B2 * IFERROR(VLOOKUP("LULUCF|PM25|Premature mortality", US_national_yearly!$D:$AM, 22, FALSE) / VLOOKUP("LULUCF|PM25|Premature mortality", US_national_yearly!$D:$AM, 10, FALSE), 1)</f>
        <v>1.5231673251592655E-4</v>
      </c>
      <c r="O2" s="7">
        <f>$B2 * IFERROR(VLOOKUP("LULUCF|PM25|Premature mortality", US_national_yearly!$D:$AM, 23, FALSE) / VLOOKUP("LULUCF|PM25|Premature mortality", US_national_yearly!$D:$AM, 10, FALSE), 1)</f>
        <v>1.5389352403236958E-4</v>
      </c>
      <c r="P2" s="7">
        <f>$B2 * IFERROR(VLOOKUP("LULUCF|PM25|Premature mortality", US_national_yearly!$D:$AM, 24, FALSE) / VLOOKUP("LULUCF|PM25|Premature mortality", US_national_yearly!$D:$AM, 10, FALSE), 1)</f>
        <v>1.5547031554881258E-4</v>
      </c>
      <c r="Q2" s="7">
        <f>$B2 * IFERROR(VLOOKUP("LULUCF|PM25|Premature mortality", US_national_yearly!$D:$AM, 25, FALSE) / VLOOKUP("LULUCF|PM25|Premature mortality", US_national_yearly!$D:$AM, 10, FALSE), 1)</f>
        <v>1.5704710706525559E-4</v>
      </c>
      <c r="R2" s="7">
        <f>$B2 * IFERROR(VLOOKUP("LULUCF|PM25|Premature mortality", US_national_yearly!$D:$AM, 26, FALSE) / VLOOKUP("LULUCF|PM25|Premature mortality", US_national_yearly!$D:$AM, 10, FALSE), 1)</f>
        <v>1.5862389858169865E-4</v>
      </c>
      <c r="S2" s="7">
        <f>$B2 * IFERROR(VLOOKUP("LULUCF|PM25|Premature mortality", US_national_yearly!$D:$AM, 27, FALSE) / VLOOKUP("LULUCF|PM25|Premature mortality", US_national_yearly!$D:$AM, 10, FALSE), 1)</f>
        <v>1.5945923587907274E-4</v>
      </c>
      <c r="T2" s="7">
        <f>$B2 * IFERROR(VLOOKUP("LULUCF|PM25|Premature mortality", US_national_yearly!$D:$AM, 28, FALSE) / VLOOKUP("LULUCF|PM25|Premature mortality", US_national_yearly!$D:$AM, 10, FALSE), 1)</f>
        <v>1.6029457317644677E-4</v>
      </c>
      <c r="U2" s="7">
        <f>$B2 * IFERROR(VLOOKUP("LULUCF|PM25|Premature mortality", US_national_yearly!$D:$AM, 29, FALSE) / VLOOKUP("LULUCF|PM25|Premature mortality", US_national_yearly!$D:$AM, 10, FALSE), 1)</f>
        <v>1.6112991047382083E-4</v>
      </c>
      <c r="V2" s="7">
        <f>$B2 * IFERROR(VLOOKUP("LULUCF|PM25|Premature mortality", US_national_yearly!$D:$AM, 30, FALSE) / VLOOKUP("LULUCF|PM25|Premature mortality", US_national_yearly!$D:$AM, 10, FALSE), 1)</f>
        <v>1.6196524777119489E-4</v>
      </c>
      <c r="W2" s="7">
        <f>$B2 * IFERROR(VLOOKUP("LULUCF|PM25|Premature mortality", US_national_yearly!$D:$AM, 31, FALSE) / VLOOKUP("LULUCF|PM25|Premature mortality", US_national_yearly!$D:$AM, 10, FALSE), 1)</f>
        <v>1.6280058506856895E-4</v>
      </c>
      <c r="X2" s="7">
        <f>$B2 * IFERROR(VLOOKUP("LULUCF|PM25|Premature mortality", US_national_yearly!$D:$AM, 32, FALSE) / VLOOKUP("LULUCF|PM25|Premature mortality", US_national_yearly!$D:$AM, 10, FALSE), 1)</f>
        <v>1.6294665025679643E-4</v>
      </c>
      <c r="Y2" s="7">
        <f>$B2 * IFERROR(VLOOKUP("LULUCF|PM25|Premature mortality", US_national_yearly!$D:$AM, 33, FALSE) / VLOOKUP("LULUCF|PM25|Premature mortality", US_national_yearly!$D:$AM, 10, FALSE), 1)</f>
        <v>1.6309271544502393E-4</v>
      </c>
      <c r="Z2" s="7">
        <f>$B2 * IFERROR(VLOOKUP("LULUCF|PM25|Premature mortality", US_national_yearly!$D:$AM, 34, FALSE) / VLOOKUP("LULUCF|PM25|Premature mortality", US_national_yearly!$D:$AM, 10, FALSE), 1)</f>
        <v>1.6323878063325144E-4</v>
      </c>
      <c r="AA2" s="7">
        <f>$B2 * IFERROR(VLOOKUP("LULUCF|PM25|Premature mortality", US_national_yearly!$D:$AM, 35, FALSE) / VLOOKUP("LULUCF|PM25|Premature mortality", US_national_yearly!$D:$AM, 10, FALSE), 1)</f>
        <v>1.6338484582147894E-4</v>
      </c>
      <c r="AB2" s="7">
        <f>$B2 * IFERROR(VLOOKUP("LULUCF|PM25|Premature mortality", US_national_yearly!$D:$AM, 36, FALSE) / VLOOKUP("LULUCF|PM25|Premature mortality", US_national_yearly!$D:$AM, 10, FALSE), 1)</f>
        <v>1.6353091100970642E-4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3.1611084331665123E-7</v>
      </c>
      <c r="C3" s="7">
        <f>$B3 * IFERROR(VLOOKUP("LULUCF|PM25|Infant mortality", US_national_yearly!$D:$AM, 11, FALSE) / VLOOKUP("LULUCF|PM25|Infant mortality", US_national_yearly!$D:$AM, 10, FALSE), 1)</f>
        <v>3.1335464521613062E-7</v>
      </c>
      <c r="D3" s="7">
        <f>$B3 * IFERROR(VLOOKUP("LULUCF|PM25|Infant mortality", US_national_yearly!$D:$AM, 12, FALSE) / VLOOKUP("LULUCF|PM25|Infant mortality", US_national_yearly!$D:$AM, 10, FALSE), 1)</f>
        <v>3.1059844711560996E-7</v>
      </c>
      <c r="E3" s="7">
        <f>$B3 * IFERROR(VLOOKUP("LULUCF|PM25|Infant mortality", US_national_yearly!$D:$AM, 13, FALSE) / VLOOKUP("LULUCF|PM25|Infant mortality", US_national_yearly!$D:$AM, 10, FALSE), 1)</f>
        <v>3.078422490150893E-7</v>
      </c>
      <c r="F3" s="7">
        <f>$B3 * IFERROR(VLOOKUP("LULUCF|PM25|Infant mortality", US_national_yearly!$D:$AM, 14, FALSE) / VLOOKUP("LULUCF|PM25|Infant mortality", US_national_yearly!$D:$AM, 10, FALSE), 1)</f>
        <v>3.0508605091456858E-7</v>
      </c>
      <c r="G3" s="7">
        <f>$B3 * IFERROR(VLOOKUP("LULUCF|PM25|Infant mortality", US_national_yearly!$D:$AM, 15, FALSE) / VLOOKUP("LULUCF|PM25|Infant mortality", US_national_yearly!$D:$AM, 10, FALSE), 1)</f>
        <v>2.0289854350782548E-7</v>
      </c>
      <c r="H3" s="7">
        <f>$B3 * IFERROR(VLOOKUP("LULUCF|PM25|Infant mortality", US_national_yearly!$D:$AM, 16, FALSE) / VLOOKUP("LULUCF|PM25|Infant mortality", US_national_yearly!$D:$AM, 10, FALSE), 1)</f>
        <v>1.0071103610108227E-7</v>
      </c>
      <c r="I3" s="7">
        <f>$B3 * IFERROR(VLOOKUP("LULUCF|PM25|Infant mortality", US_national_yearly!$D:$AM, 17, FALSE) / VLOOKUP("LULUCF|PM25|Infant mortality", US_national_yearly!$D:$AM, 10, FALSE), 1)</f>
        <v>1.0005272312036605E-7</v>
      </c>
      <c r="J3" s="7">
        <f>$B3 * IFERROR(VLOOKUP("LULUCF|PM25|Infant mortality", US_national_yearly!$D:$AM, 18, FALSE) / VLOOKUP("LULUCF|PM25|Infant mortality", US_national_yearly!$D:$AM, 10, FALSE), 1)</f>
        <v>9.9394410139649794E-8</v>
      </c>
      <c r="K3" s="7">
        <f>$B3 * IFERROR(VLOOKUP("LULUCF|PM25|Infant mortality", US_national_yearly!$D:$AM, 19, FALSE) / VLOOKUP("LULUCF|PM25|Infant mortality", US_national_yearly!$D:$AM, 10, FALSE), 1)</f>
        <v>9.8736097158933543E-8</v>
      </c>
      <c r="L3" s="7">
        <f>$B3 * IFERROR(VLOOKUP("LULUCF|PM25|Infant mortality", US_national_yearly!$D:$AM, 20, FALSE) / VLOOKUP("LULUCF|PM25|Infant mortality", US_national_yearly!$D:$AM, 10, FALSE), 1)</f>
        <v>9.8077784178217304E-8</v>
      </c>
      <c r="M3" s="7">
        <f>$B3 * IFERROR(VLOOKUP("LULUCF|PM25|Infant mortality", US_national_yearly!$D:$AM, 21, FALSE) / VLOOKUP("LULUCF|PM25|Infant mortality", US_national_yearly!$D:$AM, 10, FALSE), 1)</f>
        <v>9.7419471197501079E-8</v>
      </c>
      <c r="N3" s="7">
        <f>$B3 * IFERROR(VLOOKUP("LULUCF|PM25|Infant mortality", US_national_yearly!$D:$AM, 22, FALSE) / VLOOKUP("LULUCF|PM25|Infant mortality", US_national_yearly!$D:$AM, 10, FALSE), 1)</f>
        <v>9.7005977763246286E-8</v>
      </c>
      <c r="O3" s="7">
        <f>$B3 * IFERROR(VLOOKUP("LULUCF|PM25|Infant mortality", US_national_yearly!$D:$AM, 23, FALSE) / VLOOKUP("LULUCF|PM25|Infant mortality", US_national_yearly!$D:$AM, 10, FALSE), 1)</f>
        <v>9.6592484328991519E-8</v>
      </c>
      <c r="P3" s="7">
        <f>$B3 * IFERROR(VLOOKUP("LULUCF|PM25|Infant mortality", US_national_yearly!$D:$AM, 24, FALSE) / VLOOKUP("LULUCF|PM25|Infant mortality", US_national_yearly!$D:$AM, 10, FALSE), 1)</f>
        <v>9.6178990894736725E-8</v>
      </c>
      <c r="Q3" s="7">
        <f>$B3 * IFERROR(VLOOKUP("LULUCF|PM25|Infant mortality", US_national_yearly!$D:$AM, 25, FALSE) / VLOOKUP("LULUCF|PM25|Infant mortality", US_national_yearly!$D:$AM, 10, FALSE), 1)</f>
        <v>9.5765497460481958E-8</v>
      </c>
      <c r="R3" s="7">
        <f>$B3 * IFERROR(VLOOKUP("LULUCF|PM25|Infant mortality", US_national_yearly!$D:$AM, 26, FALSE) / VLOOKUP("LULUCF|PM25|Infant mortality", US_national_yearly!$D:$AM, 10, FALSE), 1)</f>
        <v>9.5352004026227165E-8</v>
      </c>
      <c r="S3" s="7">
        <f>$B3 * IFERROR(VLOOKUP("LULUCF|PM25|Infant mortality", US_national_yearly!$D:$AM, 27, FALSE) / VLOOKUP("LULUCF|PM25|Infant mortality", US_national_yearly!$D:$AM, 10, FALSE), 1)</f>
        <v>9.4836576005894292E-8</v>
      </c>
      <c r="T3" s="7">
        <f>$B3 * IFERROR(VLOOKUP("LULUCF|PM25|Infant mortality", US_national_yearly!$D:$AM, 28, FALSE) / VLOOKUP("LULUCF|PM25|Infant mortality", US_national_yearly!$D:$AM, 10, FALSE), 1)</f>
        <v>9.4321147985561406E-8</v>
      </c>
      <c r="U3" s="7">
        <f>$B3 * IFERROR(VLOOKUP("LULUCF|PM25|Infant mortality", US_national_yearly!$D:$AM, 29, FALSE) / VLOOKUP("LULUCF|PM25|Infant mortality", US_national_yearly!$D:$AM, 10, FALSE), 1)</f>
        <v>9.3805719965228533E-8</v>
      </c>
      <c r="V3" s="7">
        <f>$B3 * IFERROR(VLOOKUP("LULUCF|PM25|Infant mortality", US_national_yearly!$D:$AM, 30, FALSE) / VLOOKUP("LULUCF|PM25|Infant mortality", US_national_yearly!$D:$AM, 10, FALSE), 1)</f>
        <v>9.329029194489566E-8</v>
      </c>
      <c r="W3" s="7">
        <f>$B3 * IFERROR(VLOOKUP("LULUCF|PM25|Infant mortality", US_national_yearly!$D:$AM, 31, FALSE) / VLOOKUP("LULUCF|PM25|Infant mortality", US_national_yearly!$D:$AM, 10, FALSE), 1)</f>
        <v>9.2774863924562774E-8</v>
      </c>
      <c r="X3" s="7">
        <f>$B3 * IFERROR(VLOOKUP("LULUCF|PM25|Infant mortality", US_national_yearly!$D:$AM, 32, FALSE) / VLOOKUP("LULUCF|PM25|Infant mortality", US_national_yearly!$D:$AM, 10, FALSE), 1)</f>
        <v>9.2219167736138253E-8</v>
      </c>
      <c r="Y3" s="7">
        <f>$B3 * IFERROR(VLOOKUP("LULUCF|PM25|Infant mortality", US_national_yearly!$D:$AM, 33, FALSE) / VLOOKUP("LULUCF|PM25|Infant mortality", US_national_yearly!$D:$AM, 10, FALSE), 1)</f>
        <v>9.1663471547713692E-8</v>
      </c>
      <c r="Z3" s="7">
        <f>$B3 * IFERROR(VLOOKUP("LULUCF|PM25|Infant mortality", US_national_yearly!$D:$AM, 34, FALSE) / VLOOKUP("LULUCF|PM25|Infant mortality", US_national_yearly!$D:$AM, 10, FALSE), 1)</f>
        <v>9.1107775359289157E-8</v>
      </c>
      <c r="AA3" s="7">
        <f>$B3 * IFERROR(VLOOKUP("LULUCF|PM25|Infant mortality", US_national_yearly!$D:$AM, 35, FALSE) / VLOOKUP("LULUCF|PM25|Infant mortality", US_national_yearly!$D:$AM, 10, FALSE), 1)</f>
        <v>9.0552079170864622E-8</v>
      </c>
      <c r="AB3" s="7">
        <f>$B3 * IFERROR(VLOOKUP("LULUCF|PM25|Infant mortality", US_national_yearly!$D:$AM, 36, FALSE) / VLOOKUP("LULUCF|PM25|Infant mortality", US_national_yearly!$D:$AM, 10, FALSE), 1)</f>
        <v>8.9996382982440088E-8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2.6742336943918912E-4</v>
      </c>
      <c r="C6" s="7">
        <f>$B6 * IFERROR(VLOOKUP("LULUCF|PM25|Asthma symptoms cough", US_national_yearly!$D:$AM, 11, FALSE) / VLOOKUP("LULUCF|PM25|Asthma symptoms cough", US_national_yearly!$D:$AM, 10, FALSE), 1)</f>
        <v>2.6742336943918912E-4</v>
      </c>
      <c r="D6" s="7">
        <f>$B6 * IFERROR(VLOOKUP("LULUCF|PM25|Asthma symptoms cough", US_national_yearly!$D:$AM, 12, FALSE) / VLOOKUP("LULUCF|PM25|Asthma symptoms cough", US_national_yearly!$D:$AM, 10, FALSE), 1)</f>
        <v>2.6742336943918912E-4</v>
      </c>
      <c r="E6" s="7">
        <f>$B6 * IFERROR(VLOOKUP("LULUCF|PM25|Asthma symptoms cough", US_national_yearly!$D:$AM, 13, FALSE) / VLOOKUP("LULUCF|PM25|Asthma symptoms cough", US_national_yearly!$D:$AM, 10, FALSE), 1)</f>
        <v>2.6742336943918912E-4</v>
      </c>
      <c r="F6" s="7">
        <f>$B6 * IFERROR(VLOOKUP("LULUCF|PM25|Asthma symptoms cough", US_national_yearly!$D:$AM, 14, FALSE) / VLOOKUP("LULUCF|PM25|Asthma symptoms cough", US_national_yearly!$D:$AM, 10, FALSE), 1)</f>
        <v>2.6742336943918912E-4</v>
      </c>
      <c r="G6" s="7">
        <f>$B6 * IFERROR(VLOOKUP("LULUCF|PM25|Asthma symptoms cough", US_national_yearly!$D:$AM, 15, FALSE) / VLOOKUP("LULUCF|PM25|Asthma symptoms cough", US_national_yearly!$D:$AM, 10, FALSE), 1)</f>
        <v>2.6742336943918912E-4</v>
      </c>
      <c r="H6" s="7">
        <f>$B6 * IFERROR(VLOOKUP("LULUCF|PM25|Asthma symptoms cough", US_national_yearly!$D:$AM, 16, FALSE) / VLOOKUP("LULUCF|PM25|Asthma symptoms cough", US_national_yearly!$D:$AM, 10, FALSE), 1)</f>
        <v>2.6742336943918912E-4</v>
      </c>
      <c r="I6" s="7">
        <f>$B6 * IFERROR(VLOOKUP("LULUCF|PM25|Asthma symptoms cough", US_national_yearly!$D:$AM, 17, FALSE) / VLOOKUP("LULUCF|PM25|Asthma symptoms cough", US_national_yearly!$D:$AM, 10, FALSE), 1)</f>
        <v>2.6742336943918912E-4</v>
      </c>
      <c r="J6" s="7">
        <f>$B6 * IFERROR(VLOOKUP("LULUCF|PM25|Asthma symptoms cough", US_national_yearly!$D:$AM, 18, FALSE) / VLOOKUP("LULUCF|PM25|Asthma symptoms cough", US_national_yearly!$D:$AM, 10, FALSE), 1)</f>
        <v>2.6742336943918912E-4</v>
      </c>
      <c r="K6" s="7">
        <f>$B6 * IFERROR(VLOOKUP("LULUCF|PM25|Asthma symptoms cough", US_national_yearly!$D:$AM, 19, FALSE) / VLOOKUP("LULUCF|PM25|Asthma symptoms cough", US_national_yearly!$D:$AM, 10, FALSE), 1)</f>
        <v>2.6742336943918912E-4</v>
      </c>
      <c r="L6" s="7">
        <f>$B6 * IFERROR(VLOOKUP("LULUCF|PM25|Asthma symptoms cough", US_national_yearly!$D:$AM, 20, FALSE) / VLOOKUP("LULUCF|PM25|Asthma symptoms cough", US_national_yearly!$D:$AM, 10, FALSE), 1)</f>
        <v>2.6742336943918912E-4</v>
      </c>
      <c r="M6" s="7">
        <f>$B6 * IFERROR(VLOOKUP("LULUCF|PM25|Asthma symptoms cough", US_national_yearly!$D:$AM, 21, FALSE) / VLOOKUP("LULUCF|PM25|Asthma symptoms cough", US_national_yearly!$D:$AM, 10, FALSE), 1)</f>
        <v>2.6742336943918912E-4</v>
      </c>
      <c r="N6" s="7">
        <f>$B6 * IFERROR(VLOOKUP("LULUCF|PM25|Asthma symptoms cough", US_national_yearly!$D:$AM, 22, FALSE) / VLOOKUP("LULUCF|PM25|Asthma symptoms cough", US_national_yearly!$D:$AM, 10, FALSE), 1)</f>
        <v>2.6742336943918912E-4</v>
      </c>
      <c r="O6" s="7">
        <f>$B6 * IFERROR(VLOOKUP("LULUCF|PM25|Asthma symptoms cough", US_national_yearly!$D:$AM, 23, FALSE) / VLOOKUP("LULUCF|PM25|Asthma symptoms cough", US_national_yearly!$D:$AM, 10, FALSE), 1)</f>
        <v>2.6742336943918912E-4</v>
      </c>
      <c r="P6" s="7">
        <f>$B6 * IFERROR(VLOOKUP("LULUCF|PM25|Asthma symptoms cough", US_national_yearly!$D:$AM, 24, FALSE) / VLOOKUP("LULUCF|PM25|Asthma symptoms cough", US_national_yearly!$D:$AM, 10, FALSE), 1)</f>
        <v>2.6742336943918912E-4</v>
      </c>
      <c r="Q6" s="7">
        <f>$B6 * IFERROR(VLOOKUP("LULUCF|PM25|Asthma symptoms cough", US_national_yearly!$D:$AM, 25, FALSE) / VLOOKUP("LULUCF|PM25|Asthma symptoms cough", US_national_yearly!$D:$AM, 10, FALSE), 1)</f>
        <v>2.6742336943918912E-4</v>
      </c>
      <c r="R6" s="7">
        <f>$B6 * IFERROR(VLOOKUP("LULUCF|PM25|Asthma symptoms cough", US_national_yearly!$D:$AM, 26, FALSE) / VLOOKUP("LULUCF|PM25|Asthma symptoms cough", US_national_yearly!$D:$AM, 10, FALSE), 1)</f>
        <v>2.6742336943918912E-4</v>
      </c>
      <c r="S6" s="7">
        <f>$B6 * IFERROR(VLOOKUP("LULUCF|PM25|Asthma symptoms cough", US_national_yearly!$D:$AM, 27, FALSE) / VLOOKUP("LULUCF|PM25|Asthma symptoms cough", US_national_yearly!$D:$AM, 10, FALSE), 1)</f>
        <v>2.6742336943918912E-4</v>
      </c>
      <c r="T6" s="7">
        <f>$B6 * IFERROR(VLOOKUP("LULUCF|PM25|Asthma symptoms cough", US_national_yearly!$D:$AM, 28, FALSE) / VLOOKUP("LULUCF|PM25|Asthma symptoms cough", US_national_yearly!$D:$AM, 10, FALSE), 1)</f>
        <v>2.6742336943918912E-4</v>
      </c>
      <c r="U6" s="7">
        <f>$B6 * IFERROR(VLOOKUP("LULUCF|PM25|Asthma symptoms cough", US_national_yearly!$D:$AM, 29, FALSE) / VLOOKUP("LULUCF|PM25|Asthma symptoms cough", US_national_yearly!$D:$AM, 10, FALSE), 1)</f>
        <v>2.6742336943918912E-4</v>
      </c>
      <c r="V6" s="7">
        <f>$B6 * IFERROR(VLOOKUP("LULUCF|PM25|Asthma symptoms cough", US_national_yearly!$D:$AM, 30, FALSE) / VLOOKUP("LULUCF|PM25|Asthma symptoms cough", US_national_yearly!$D:$AM, 10, FALSE), 1)</f>
        <v>2.6742336943918912E-4</v>
      </c>
      <c r="W6" s="7">
        <f>$B6 * IFERROR(VLOOKUP("LULUCF|PM25|Asthma symptoms cough", US_national_yearly!$D:$AM, 31, FALSE) / VLOOKUP("LULUCF|PM25|Asthma symptoms cough", US_national_yearly!$D:$AM, 10, FALSE), 1)</f>
        <v>2.6742336943918912E-4</v>
      </c>
      <c r="X6" s="7">
        <f>$B6 * IFERROR(VLOOKUP("LULUCF|PM25|Asthma symptoms cough", US_national_yearly!$D:$AM, 32, FALSE) / VLOOKUP("LULUCF|PM25|Asthma symptoms cough", US_national_yearly!$D:$AM, 10, FALSE), 1)</f>
        <v>2.6742336943918912E-4</v>
      </c>
      <c r="Y6" s="7">
        <f>$B6 * IFERROR(VLOOKUP("LULUCF|PM25|Asthma symptoms cough", US_national_yearly!$D:$AM, 33, FALSE) / VLOOKUP("LULUCF|PM25|Asthma symptoms cough", US_national_yearly!$D:$AM, 10, FALSE), 1)</f>
        <v>2.6742336943918912E-4</v>
      </c>
      <c r="Z6" s="7">
        <f>$B6 * IFERROR(VLOOKUP("LULUCF|PM25|Asthma symptoms cough", US_national_yearly!$D:$AM, 34, FALSE) / VLOOKUP("LULUCF|PM25|Asthma symptoms cough", US_national_yearly!$D:$AM, 10, FALSE), 1)</f>
        <v>2.6742336943918912E-4</v>
      </c>
      <c r="AA6" s="7">
        <f>$B6 * IFERROR(VLOOKUP("LULUCF|PM25|Asthma symptoms cough", US_national_yearly!$D:$AM, 35, FALSE) / VLOOKUP("LULUCF|PM25|Asthma symptoms cough", US_national_yearly!$D:$AM, 10, FALSE), 1)</f>
        <v>2.6742336943918912E-4</v>
      </c>
      <c r="AB6" s="7">
        <f>$B6 * IFERROR(VLOOKUP("LULUCF|PM25|Asthma symptoms cough", US_national_yearly!$D:$AM, 36, FALSE) / VLOOKUP("LULUCF|PM25|Asthma symptoms cough", US_national_yearly!$D:$AM, 10, FALSE), 1)</f>
        <v>2.6742336943918912E-4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3.6012307612506573E-4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3.6012307612506573E-4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3.6012307612506573E-4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3.6012307612506573E-4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3.6012307612506573E-4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3.6012307612506573E-4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3.6012307612506573E-4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3.6012307612506573E-4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3.6012307612506573E-4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3.6012307612506573E-4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3.6012307612506573E-4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3.6012307612506573E-4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3.6012307612506573E-4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3.6012307612506573E-4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3.6012307612506573E-4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3.6012307612506573E-4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3.6012307612506573E-4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3.6012307612506573E-4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3.6012307612506573E-4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3.6012307612506573E-4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3.6012307612506573E-4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3.6012307612506573E-4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3.6012307612506573E-4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3.6012307612506573E-4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3.6012307612506573E-4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3.6012307612506573E-4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3.6012307612506573E-4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5.5021164631871512E-4</v>
      </c>
      <c r="C8" s="7">
        <f>$B8 * IFERROR(VLOOKUP("LULUCF|PM25|Asthma symptoms wheeze", US_national_yearly!$D:$AM, 11, FALSE) / VLOOKUP("LULUCF|PM25|Asthma symptoms wheeze", US_national_yearly!$D:$AM, 10, FALSE), 1)</f>
        <v>5.5021164631871512E-4</v>
      </c>
      <c r="D8" s="7">
        <f>$B8 * IFERROR(VLOOKUP("LULUCF|PM25|Asthma symptoms wheeze", US_national_yearly!$D:$AM, 12, FALSE) / VLOOKUP("LULUCF|PM25|Asthma symptoms wheeze", US_national_yearly!$D:$AM, 10, FALSE), 1)</f>
        <v>5.5021164631871512E-4</v>
      </c>
      <c r="E8" s="7">
        <f>$B8 * IFERROR(VLOOKUP("LULUCF|PM25|Asthma symptoms wheeze", US_national_yearly!$D:$AM, 13, FALSE) / VLOOKUP("LULUCF|PM25|Asthma symptoms wheeze", US_national_yearly!$D:$AM, 10, FALSE), 1)</f>
        <v>5.5021164631871512E-4</v>
      </c>
      <c r="F8" s="7">
        <f>$B8 * IFERROR(VLOOKUP("LULUCF|PM25|Asthma symptoms wheeze", US_national_yearly!$D:$AM, 14, FALSE) / VLOOKUP("LULUCF|PM25|Asthma symptoms wheeze", US_national_yearly!$D:$AM, 10, FALSE), 1)</f>
        <v>5.5021164631871512E-4</v>
      </c>
      <c r="G8" s="7">
        <f>$B8 * IFERROR(VLOOKUP("LULUCF|PM25|Asthma symptoms wheeze", US_national_yearly!$D:$AM, 15, FALSE) / VLOOKUP("LULUCF|PM25|Asthma symptoms wheeze", US_national_yearly!$D:$AM, 10, FALSE), 1)</f>
        <v>5.5021164631871512E-4</v>
      </c>
      <c r="H8" s="7">
        <f>$B8 * IFERROR(VLOOKUP("LULUCF|PM25|Asthma symptoms wheeze", US_national_yearly!$D:$AM, 16, FALSE) / VLOOKUP("LULUCF|PM25|Asthma symptoms wheeze", US_national_yearly!$D:$AM, 10, FALSE), 1)</f>
        <v>5.5021164631871512E-4</v>
      </c>
      <c r="I8" s="7">
        <f>$B8 * IFERROR(VLOOKUP("LULUCF|PM25|Asthma symptoms wheeze", US_national_yearly!$D:$AM, 17, FALSE) / VLOOKUP("LULUCF|PM25|Asthma symptoms wheeze", US_national_yearly!$D:$AM, 10, FALSE), 1)</f>
        <v>5.5021164631871512E-4</v>
      </c>
      <c r="J8" s="7">
        <f>$B8 * IFERROR(VLOOKUP("LULUCF|PM25|Asthma symptoms wheeze", US_national_yearly!$D:$AM, 18, FALSE) / VLOOKUP("LULUCF|PM25|Asthma symptoms wheeze", US_national_yearly!$D:$AM, 10, FALSE), 1)</f>
        <v>5.5021164631871512E-4</v>
      </c>
      <c r="K8" s="7">
        <f>$B8 * IFERROR(VLOOKUP("LULUCF|PM25|Asthma symptoms wheeze", US_national_yearly!$D:$AM, 19, FALSE) / VLOOKUP("LULUCF|PM25|Asthma symptoms wheeze", US_national_yearly!$D:$AM, 10, FALSE), 1)</f>
        <v>5.5021164631871512E-4</v>
      </c>
      <c r="L8" s="7">
        <f>$B8 * IFERROR(VLOOKUP("LULUCF|PM25|Asthma symptoms wheeze", US_national_yearly!$D:$AM, 20, FALSE) / VLOOKUP("LULUCF|PM25|Asthma symptoms wheeze", US_national_yearly!$D:$AM, 10, FALSE), 1)</f>
        <v>5.5021164631871512E-4</v>
      </c>
      <c r="M8" s="7">
        <f>$B8 * IFERROR(VLOOKUP("LULUCF|PM25|Asthma symptoms wheeze", US_national_yearly!$D:$AM, 21, FALSE) / VLOOKUP("LULUCF|PM25|Asthma symptoms wheeze", US_national_yearly!$D:$AM, 10, FALSE), 1)</f>
        <v>5.5021164631871512E-4</v>
      </c>
      <c r="N8" s="7">
        <f>$B8 * IFERROR(VLOOKUP("LULUCF|PM25|Asthma symptoms wheeze", US_national_yearly!$D:$AM, 22, FALSE) / VLOOKUP("LULUCF|PM25|Asthma symptoms wheeze", US_national_yearly!$D:$AM, 10, FALSE), 1)</f>
        <v>5.5021164631871512E-4</v>
      </c>
      <c r="O8" s="7">
        <f>$B8 * IFERROR(VLOOKUP("LULUCF|PM25|Asthma symptoms wheeze", US_national_yearly!$D:$AM, 23, FALSE) / VLOOKUP("LULUCF|PM25|Asthma symptoms wheeze", US_national_yearly!$D:$AM, 10, FALSE), 1)</f>
        <v>5.5021164631871512E-4</v>
      </c>
      <c r="P8" s="7">
        <f>$B8 * IFERROR(VLOOKUP("LULUCF|PM25|Asthma symptoms wheeze", US_national_yearly!$D:$AM, 24, FALSE) / VLOOKUP("LULUCF|PM25|Asthma symptoms wheeze", US_national_yearly!$D:$AM, 10, FALSE), 1)</f>
        <v>5.5021164631871512E-4</v>
      </c>
      <c r="Q8" s="7">
        <f>$B8 * IFERROR(VLOOKUP("LULUCF|PM25|Asthma symptoms wheeze", US_national_yearly!$D:$AM, 25, FALSE) / VLOOKUP("LULUCF|PM25|Asthma symptoms wheeze", US_national_yearly!$D:$AM, 10, FALSE), 1)</f>
        <v>5.5021164631871512E-4</v>
      </c>
      <c r="R8" s="7">
        <f>$B8 * IFERROR(VLOOKUP("LULUCF|PM25|Asthma symptoms wheeze", US_national_yearly!$D:$AM, 26, FALSE) / VLOOKUP("LULUCF|PM25|Asthma symptoms wheeze", US_national_yearly!$D:$AM, 10, FALSE), 1)</f>
        <v>5.5021164631871512E-4</v>
      </c>
      <c r="S8" s="7">
        <f>$B8 * IFERROR(VLOOKUP("LULUCF|PM25|Asthma symptoms wheeze", US_national_yearly!$D:$AM, 27, FALSE) / VLOOKUP("LULUCF|PM25|Asthma symptoms wheeze", US_national_yearly!$D:$AM, 10, FALSE), 1)</f>
        <v>5.5021164631871512E-4</v>
      </c>
      <c r="T8" s="7">
        <f>$B8 * IFERROR(VLOOKUP("LULUCF|PM25|Asthma symptoms wheeze", US_national_yearly!$D:$AM, 28, FALSE) / VLOOKUP("LULUCF|PM25|Asthma symptoms wheeze", US_national_yearly!$D:$AM, 10, FALSE), 1)</f>
        <v>5.5021164631871512E-4</v>
      </c>
      <c r="U8" s="7">
        <f>$B8 * IFERROR(VLOOKUP("LULUCF|PM25|Asthma symptoms wheeze", US_national_yearly!$D:$AM, 29, FALSE) / VLOOKUP("LULUCF|PM25|Asthma symptoms wheeze", US_national_yearly!$D:$AM, 10, FALSE), 1)</f>
        <v>5.5021164631871512E-4</v>
      </c>
      <c r="V8" s="7">
        <f>$B8 * IFERROR(VLOOKUP("LULUCF|PM25|Asthma symptoms wheeze", US_national_yearly!$D:$AM, 30, FALSE) / VLOOKUP("LULUCF|PM25|Asthma symptoms wheeze", US_national_yearly!$D:$AM, 10, FALSE), 1)</f>
        <v>5.5021164631871512E-4</v>
      </c>
      <c r="W8" s="7">
        <f>$B8 * IFERROR(VLOOKUP("LULUCF|PM25|Asthma symptoms wheeze", US_national_yearly!$D:$AM, 31, FALSE) / VLOOKUP("LULUCF|PM25|Asthma symptoms wheeze", US_national_yearly!$D:$AM, 10, FALSE), 1)</f>
        <v>5.5021164631871512E-4</v>
      </c>
      <c r="X8" s="7">
        <f>$B8 * IFERROR(VLOOKUP("LULUCF|PM25|Asthma symptoms wheeze", US_national_yearly!$D:$AM, 32, FALSE) / VLOOKUP("LULUCF|PM25|Asthma symptoms wheeze", US_national_yearly!$D:$AM, 10, FALSE), 1)</f>
        <v>5.5021164631871512E-4</v>
      </c>
      <c r="Y8" s="7">
        <f>$B8 * IFERROR(VLOOKUP("LULUCF|PM25|Asthma symptoms wheeze", US_national_yearly!$D:$AM, 33, FALSE) / VLOOKUP("LULUCF|PM25|Asthma symptoms wheeze", US_national_yearly!$D:$AM, 10, FALSE), 1)</f>
        <v>5.5021164631871512E-4</v>
      </c>
      <c r="Z8" s="7">
        <f>$B8 * IFERROR(VLOOKUP("LULUCF|PM25|Asthma symptoms wheeze", US_national_yearly!$D:$AM, 34, FALSE) / VLOOKUP("LULUCF|PM25|Asthma symptoms wheeze", US_national_yearly!$D:$AM, 10, FALSE), 1)</f>
        <v>5.5021164631871512E-4</v>
      </c>
      <c r="AA8" s="7">
        <f>$B8 * IFERROR(VLOOKUP("LULUCF|PM25|Asthma symptoms wheeze", US_national_yearly!$D:$AM, 35, FALSE) / VLOOKUP("LULUCF|PM25|Asthma symptoms wheeze", US_national_yearly!$D:$AM, 10, FALSE), 1)</f>
        <v>5.5021164631871512E-4</v>
      </c>
      <c r="AB8" s="7">
        <f>$B8 * IFERROR(VLOOKUP("LULUCF|PM25|Asthma symptoms wheeze", US_national_yearly!$D:$AM, 36, FALSE) / VLOOKUP("LULUCF|PM25|Asthma symptoms wheeze", US_national_yearly!$D:$AM, 10, FALSE), 1)</f>
        <v>5.5021164631871512E-4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1.0932702592209539E-5</v>
      </c>
      <c r="C12" s="7">
        <f>$B12 * IFERROR(VLOOKUP("LULUCF|PM25|Respiratory hospital admissions", US_national_yearly!$D:$AM, 11, FALSE) / VLOOKUP("LULUCF|PM25|Respiratory hospital admissions", US_national_yearly!$D:$AM, 10, FALSE), 1)</f>
        <v>1.0995364436966296E-5</v>
      </c>
      <c r="D12" s="7">
        <f>$B12 * IFERROR(VLOOKUP("LULUCF|PM25|Respiratory hospital admissions", US_national_yearly!$D:$AM, 12, FALSE) / VLOOKUP("LULUCF|PM25|Respiratory hospital admissions", US_national_yearly!$D:$AM, 10, FALSE), 1)</f>
        <v>1.1058026281723051E-5</v>
      </c>
      <c r="E12" s="7">
        <f>$B12 * IFERROR(VLOOKUP("LULUCF|PM25|Respiratory hospital admissions", US_national_yearly!$D:$AM, 13, FALSE) / VLOOKUP("LULUCF|PM25|Respiratory hospital admissions", US_national_yearly!$D:$AM, 10, FALSE), 1)</f>
        <v>1.1120688126479807E-5</v>
      </c>
      <c r="F12" s="7">
        <f>$B12 * IFERROR(VLOOKUP("LULUCF|PM25|Respiratory hospital admissions", US_national_yearly!$D:$AM, 14, FALSE) / VLOOKUP("LULUCF|PM25|Respiratory hospital admissions", US_national_yearly!$D:$AM, 10, FALSE), 1)</f>
        <v>1.118334997123656E-5</v>
      </c>
      <c r="G12" s="7">
        <f>$B12 * IFERROR(VLOOKUP("LULUCF|PM25|Respiratory hospital admissions", US_national_yearly!$D:$AM, 15, FALSE) / VLOOKUP("LULUCF|PM25|Respiratory hospital admissions", US_national_yearly!$D:$AM, 10, FALSE), 1)</f>
        <v>1.125102743643212E-5</v>
      </c>
      <c r="H12" s="7">
        <f>$B12 * IFERROR(VLOOKUP("LULUCF|PM25|Respiratory hospital admissions", US_national_yearly!$D:$AM, 16, FALSE) / VLOOKUP("LULUCF|PM25|Respiratory hospital admissions", US_national_yearly!$D:$AM, 10, FALSE), 1)</f>
        <v>1.1318704901627678E-5</v>
      </c>
      <c r="I12" s="7">
        <f>$B12 * IFERROR(VLOOKUP("LULUCF|PM25|Respiratory hospital admissions", US_national_yearly!$D:$AM, 17, FALSE) / VLOOKUP("LULUCF|PM25|Respiratory hospital admissions", US_national_yearly!$D:$AM, 10, FALSE), 1)</f>
        <v>1.138336814831745E-5</v>
      </c>
      <c r="J12" s="7">
        <f>$B12 * IFERROR(VLOOKUP("LULUCF|PM25|Respiratory hospital admissions", US_national_yearly!$D:$AM, 18, FALSE) / VLOOKUP("LULUCF|PM25|Respiratory hospital admissions", US_national_yearly!$D:$AM, 10, FALSE), 1)</f>
        <v>1.1448031395007226E-5</v>
      </c>
      <c r="K12" s="7">
        <f>$B12 * IFERROR(VLOOKUP("LULUCF|PM25|Respiratory hospital admissions", US_national_yearly!$D:$AM, 19, FALSE) / VLOOKUP("LULUCF|PM25|Respiratory hospital admissions", US_national_yearly!$D:$AM, 10, FALSE), 1)</f>
        <v>1.1512694641697E-5</v>
      </c>
      <c r="L12" s="7">
        <f>$B12 * IFERROR(VLOOKUP("LULUCF|PM25|Respiratory hospital admissions", US_national_yearly!$D:$AM, 20, FALSE) / VLOOKUP("LULUCF|PM25|Respiratory hospital admissions", US_national_yearly!$D:$AM, 10, FALSE), 1)</f>
        <v>1.1577357888386776E-5</v>
      </c>
      <c r="M12" s="7">
        <f>$B12 * IFERROR(VLOOKUP("LULUCF|PM25|Respiratory hospital admissions", US_national_yearly!$D:$AM, 21, FALSE) / VLOOKUP("LULUCF|PM25|Respiratory hospital admissions", US_national_yearly!$D:$AM, 10, FALSE), 1)</f>
        <v>1.1642021135076548E-5</v>
      </c>
      <c r="N12" s="7">
        <f>$B12 * IFERROR(VLOOKUP("LULUCF|PM25|Respiratory hospital admissions", US_national_yearly!$D:$AM, 22, FALSE) / VLOOKUP("LULUCF|PM25|Respiratory hospital admissions", US_national_yearly!$D:$AM, 10, FALSE), 1)</f>
        <v>1.1688431834217608E-5</v>
      </c>
      <c r="O12" s="7">
        <f>$B12 * IFERROR(VLOOKUP("LULUCF|PM25|Respiratory hospital admissions", US_national_yearly!$D:$AM, 23, FALSE) / VLOOKUP("LULUCF|PM25|Respiratory hospital admissions", US_national_yearly!$D:$AM, 10, FALSE), 1)</f>
        <v>1.1734842533358664E-5</v>
      </c>
      <c r="P12" s="7">
        <f>$B12 * IFERROR(VLOOKUP("LULUCF|PM25|Respiratory hospital admissions", US_national_yearly!$D:$AM, 24, FALSE) / VLOOKUP("LULUCF|PM25|Respiratory hospital admissions", US_national_yearly!$D:$AM, 10, FALSE), 1)</f>
        <v>1.1781253232499721E-5</v>
      </c>
      <c r="Q12" s="7">
        <f>$B12 * IFERROR(VLOOKUP("LULUCF|PM25|Respiratory hospital admissions", US_national_yearly!$D:$AM, 25, FALSE) / VLOOKUP("LULUCF|PM25|Respiratory hospital admissions", US_national_yearly!$D:$AM, 10, FALSE), 1)</f>
        <v>1.1827663931640777E-5</v>
      </c>
      <c r="R12" s="7">
        <f>$B12 * IFERROR(VLOOKUP("LULUCF|PM25|Respiratory hospital admissions", US_national_yearly!$D:$AM, 26, FALSE) / VLOOKUP("LULUCF|PM25|Respiratory hospital admissions", US_national_yearly!$D:$AM, 10, FALSE), 1)</f>
        <v>1.1874074630781837E-5</v>
      </c>
      <c r="S12" s="7">
        <f>$B12 * IFERROR(VLOOKUP("LULUCF|PM25|Respiratory hospital admissions", US_national_yearly!$D:$AM, 27, FALSE) / VLOOKUP("LULUCF|PM25|Respiratory hospital admissions", US_national_yearly!$D:$AM, 10, FALSE), 1)</f>
        <v>1.19182637318031E-5</v>
      </c>
      <c r="T12" s="7">
        <f>$B12 * IFERROR(VLOOKUP("LULUCF|PM25|Respiratory hospital admissions", US_national_yearly!$D:$AM, 28, FALSE) / VLOOKUP("LULUCF|PM25|Respiratory hospital admissions", US_national_yearly!$D:$AM, 10, FALSE), 1)</f>
        <v>1.1962452832824366E-5</v>
      </c>
      <c r="U12" s="7">
        <f>$B12 * IFERROR(VLOOKUP("LULUCF|PM25|Respiratory hospital admissions", US_national_yearly!$D:$AM, 29, FALSE) / VLOOKUP("LULUCF|PM25|Respiratory hospital admissions", US_national_yearly!$D:$AM, 10, FALSE), 1)</f>
        <v>1.2006641933845627E-5</v>
      </c>
      <c r="V12" s="7">
        <f>$B12 * IFERROR(VLOOKUP("LULUCF|PM25|Respiratory hospital admissions", US_national_yearly!$D:$AM, 30, FALSE) / VLOOKUP("LULUCF|PM25|Respiratory hospital admissions", US_national_yearly!$D:$AM, 10, FALSE), 1)</f>
        <v>1.205083103486689E-5</v>
      </c>
      <c r="W12" s="7">
        <f>$B12 * IFERROR(VLOOKUP("LULUCF|PM25|Respiratory hospital admissions", US_national_yearly!$D:$AM, 31, FALSE) / VLOOKUP("LULUCF|PM25|Respiratory hospital admissions", US_national_yearly!$D:$AM, 10, FALSE), 1)</f>
        <v>1.2095020135888152E-5</v>
      </c>
      <c r="X12" s="7">
        <f>$B12 * IFERROR(VLOOKUP("LULUCF|PM25|Respiratory hospital admissions", US_national_yearly!$D:$AM, 32, FALSE) / VLOOKUP("LULUCF|PM25|Respiratory hospital admissions", US_national_yearly!$D:$AM, 10, FALSE), 1)</f>
        <v>1.2137530614754301E-5</v>
      </c>
      <c r="Y12" s="7">
        <f>$B12 * IFERROR(VLOOKUP("LULUCF|PM25|Respiratory hospital admissions", US_national_yearly!$D:$AM, 33, FALSE) / VLOOKUP("LULUCF|PM25|Respiratory hospital admissions", US_national_yearly!$D:$AM, 10, FALSE), 1)</f>
        <v>1.2180041093620445E-5</v>
      </c>
      <c r="Z12" s="7">
        <f>$B12 * IFERROR(VLOOKUP("LULUCF|PM25|Respiratory hospital admissions", US_national_yearly!$D:$AM, 34, FALSE) / VLOOKUP("LULUCF|PM25|Respiratory hospital admissions", US_national_yearly!$D:$AM, 10, FALSE), 1)</f>
        <v>1.2222551572486591E-5</v>
      </c>
      <c r="AA12" s="7">
        <f>$B12 * IFERROR(VLOOKUP("LULUCF|PM25|Respiratory hospital admissions", US_national_yearly!$D:$AM, 35, FALSE) / VLOOKUP("LULUCF|PM25|Respiratory hospital admissions", US_national_yearly!$D:$AM, 10, FALSE), 1)</f>
        <v>1.2265062051352733E-5</v>
      </c>
      <c r="AB12" s="7">
        <f>$B12 * IFERROR(VLOOKUP("LULUCF|PM25|Respiratory hospital admissions", US_national_yearly!$D:$AM, 36, FALSE) / VLOOKUP("LULUCF|PM25|Respiratory hospital admissions", US_national_yearly!$D:$AM, 10, FALSE), 1)</f>
        <v>1.2307572530218878E-5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5.4092777175705427E-5</v>
      </c>
      <c r="C13" s="7">
        <f>$B13 * IFERROR(VLOOKUP("LULUCF|PM25|Non-fatal heart attacks", US_national_yearly!$D:$AM, 11, FALSE) / VLOOKUP("LULUCF|PM25|Non-fatal heart attacks", US_national_yearly!$D:$AM, 10, FALSE), 1)</f>
        <v>5.5665397754005002E-5</v>
      </c>
      <c r="D13" s="7">
        <f>$B13 * IFERROR(VLOOKUP("LULUCF|PM25|Non-fatal heart attacks", US_national_yearly!$D:$AM, 12, FALSE) / VLOOKUP("LULUCF|PM25|Non-fatal heart attacks", US_national_yearly!$D:$AM, 10, FALSE), 1)</f>
        <v>5.7238018332304577E-5</v>
      </c>
      <c r="E13" s="7">
        <f>$B13 * IFERROR(VLOOKUP("LULUCF|PM25|Non-fatal heart attacks", US_national_yearly!$D:$AM, 13, FALSE) / VLOOKUP("LULUCF|PM25|Non-fatal heart attacks", US_national_yearly!$D:$AM, 10, FALSE), 1)</f>
        <v>5.8810638910604138E-5</v>
      </c>
      <c r="F13" s="7">
        <f>$B13 * IFERROR(VLOOKUP("LULUCF|PM25|Non-fatal heart attacks", US_national_yearly!$D:$AM, 14, FALSE) / VLOOKUP("LULUCF|PM25|Non-fatal heart attacks", US_national_yearly!$D:$AM, 10, FALSE), 1)</f>
        <v>6.038325948890372E-5</v>
      </c>
      <c r="G13" s="7">
        <f>$B13 * IFERROR(VLOOKUP("LULUCF|PM25|Non-fatal heart attacks", US_national_yearly!$D:$AM, 15, FALSE) / VLOOKUP("LULUCF|PM25|Non-fatal heart attacks", US_national_yearly!$D:$AM, 10, FALSE), 1)</f>
        <v>6.1866340113385731E-5</v>
      </c>
      <c r="H13" s="7">
        <f>$B13 * IFERROR(VLOOKUP("LULUCF|PM25|Non-fatal heart attacks", US_national_yearly!$D:$AM, 16, FALSE) / VLOOKUP("LULUCF|PM25|Non-fatal heart attacks", US_national_yearly!$D:$AM, 10, FALSE), 1)</f>
        <v>6.3349420737867729E-5</v>
      </c>
      <c r="I13" s="7">
        <f>$B13 * IFERROR(VLOOKUP("LULUCF|PM25|Non-fatal heart attacks", US_national_yearly!$D:$AM, 17, FALSE) / VLOOKUP("LULUCF|PM25|Non-fatal heart attacks", US_national_yearly!$D:$AM, 10, FALSE), 1)</f>
        <v>6.4541324057449756E-5</v>
      </c>
      <c r="J13" s="7">
        <f>$B13 * IFERROR(VLOOKUP("LULUCF|PM25|Non-fatal heart attacks", US_national_yearly!$D:$AM, 18, FALSE) / VLOOKUP("LULUCF|PM25|Non-fatal heart attacks", US_national_yearly!$D:$AM, 10, FALSE), 1)</f>
        <v>6.5733227377031797E-5</v>
      </c>
      <c r="K13" s="7">
        <f>$B13 * IFERROR(VLOOKUP("LULUCF|PM25|Non-fatal heart attacks", US_national_yearly!$D:$AM, 19, FALSE) / VLOOKUP("LULUCF|PM25|Non-fatal heart attacks", US_national_yearly!$D:$AM, 10, FALSE), 1)</f>
        <v>6.6925130696613837E-5</v>
      </c>
      <c r="L13" s="7">
        <f>$B13 * IFERROR(VLOOKUP("LULUCF|PM25|Non-fatal heart attacks", US_national_yearly!$D:$AM, 20, FALSE) / VLOOKUP("LULUCF|PM25|Non-fatal heart attacks", US_national_yearly!$D:$AM, 10, FALSE), 1)</f>
        <v>6.8117034016195878E-5</v>
      </c>
      <c r="M13" s="7">
        <f>$B13 * IFERROR(VLOOKUP("LULUCF|PM25|Non-fatal heart attacks", US_national_yearly!$D:$AM, 21, FALSE) / VLOOKUP("LULUCF|PM25|Non-fatal heart attacks", US_national_yearly!$D:$AM, 10, FALSE), 1)</f>
        <v>6.9308937335777932E-5</v>
      </c>
      <c r="N13" s="7">
        <f>$B13 * IFERROR(VLOOKUP("LULUCF|PM25|Non-fatal heart attacks", US_national_yearly!$D:$AM, 22, FALSE) / VLOOKUP("LULUCF|PM25|Non-fatal heart attacks", US_national_yearly!$D:$AM, 10, FALSE), 1)</f>
        <v>7.0077597281843315E-5</v>
      </c>
      <c r="O13" s="7">
        <f>$B13 * IFERROR(VLOOKUP("LULUCF|PM25|Non-fatal heart attacks", US_national_yearly!$D:$AM, 23, FALSE) / VLOOKUP("LULUCF|PM25|Non-fatal heart attacks", US_national_yearly!$D:$AM, 10, FALSE), 1)</f>
        <v>7.0846257227908724E-5</v>
      </c>
      <c r="P13" s="7">
        <f>$B13 * IFERROR(VLOOKUP("LULUCF|PM25|Non-fatal heart attacks", US_national_yearly!$D:$AM, 24, FALSE) / VLOOKUP("LULUCF|PM25|Non-fatal heart attacks", US_national_yearly!$D:$AM, 10, FALSE), 1)</f>
        <v>7.1614917173974134E-5</v>
      </c>
      <c r="Q13" s="7">
        <f>$B13 * IFERROR(VLOOKUP("LULUCF|PM25|Non-fatal heart attacks", US_national_yearly!$D:$AM, 25, FALSE) / VLOOKUP("LULUCF|PM25|Non-fatal heart attacks", US_national_yearly!$D:$AM, 10, FALSE), 1)</f>
        <v>7.238357712003953E-5</v>
      </c>
      <c r="R13" s="7">
        <f>$B13 * IFERROR(VLOOKUP("LULUCF|PM25|Non-fatal heart attacks", US_national_yearly!$D:$AM, 26, FALSE) / VLOOKUP("LULUCF|PM25|Non-fatal heart attacks", US_national_yearly!$D:$AM, 10, FALSE), 1)</f>
        <v>7.3152237066104926E-5</v>
      </c>
      <c r="S13" s="7">
        <f>$B13 * IFERROR(VLOOKUP("LULUCF|PM25|Non-fatal heart attacks", US_national_yearly!$D:$AM, 27, FALSE) / VLOOKUP("LULUCF|PM25|Non-fatal heart attacks", US_national_yearly!$D:$AM, 10, FALSE), 1)</f>
        <v>7.3557035354150028E-5</v>
      </c>
      <c r="T13" s="7">
        <f>$B13 * IFERROR(VLOOKUP("LULUCF|PM25|Non-fatal heart attacks", US_national_yearly!$D:$AM, 28, FALSE) / VLOOKUP("LULUCF|PM25|Non-fatal heart attacks", US_national_yearly!$D:$AM, 10, FALSE), 1)</f>
        <v>7.3961833642195157E-5</v>
      </c>
      <c r="U13" s="7">
        <f>$B13 * IFERROR(VLOOKUP("LULUCF|PM25|Non-fatal heart attacks", US_national_yearly!$D:$AM, 29, FALSE) / VLOOKUP("LULUCF|PM25|Non-fatal heart attacks", US_national_yearly!$D:$AM, 10, FALSE), 1)</f>
        <v>7.4366631930240286E-5</v>
      </c>
      <c r="V13" s="7">
        <f>$B13 * IFERROR(VLOOKUP("LULUCF|PM25|Non-fatal heart attacks", US_national_yearly!$D:$AM, 30, FALSE) / VLOOKUP("LULUCF|PM25|Non-fatal heart attacks", US_national_yearly!$D:$AM, 10, FALSE), 1)</f>
        <v>7.4771430218285387E-5</v>
      </c>
      <c r="W13" s="7">
        <f>$B13 * IFERROR(VLOOKUP("LULUCF|PM25|Non-fatal heart attacks", US_national_yearly!$D:$AM, 31, FALSE) / VLOOKUP("LULUCF|PM25|Non-fatal heart attacks", US_national_yearly!$D:$AM, 10, FALSE), 1)</f>
        <v>7.5176228506330502E-5</v>
      </c>
      <c r="X13" s="7">
        <f>$B13 * IFERROR(VLOOKUP("LULUCF|PM25|Non-fatal heart attacks", US_national_yearly!$D:$AM, 32, FALSE) / VLOOKUP("LULUCF|PM25|Non-fatal heart attacks", US_national_yearly!$D:$AM, 10, FALSE), 1)</f>
        <v>7.5483528939586231E-5</v>
      </c>
      <c r="Y13" s="7">
        <f>$B13 * IFERROR(VLOOKUP("LULUCF|PM25|Non-fatal heart attacks", US_national_yearly!$D:$AM, 33, FALSE) / VLOOKUP("LULUCF|PM25|Non-fatal heart attacks", US_national_yearly!$D:$AM, 10, FALSE), 1)</f>
        <v>7.5790829372841974E-5</v>
      </c>
      <c r="Z13" s="7">
        <f>$B13 * IFERROR(VLOOKUP("LULUCF|PM25|Non-fatal heart attacks", US_national_yearly!$D:$AM, 34, FALSE) / VLOOKUP("LULUCF|PM25|Non-fatal heart attacks", US_national_yearly!$D:$AM, 10, FALSE), 1)</f>
        <v>7.6098129806097703E-5</v>
      </c>
      <c r="AA13" s="7">
        <f>$B13 * IFERROR(VLOOKUP("LULUCF|PM25|Non-fatal heart attacks", US_national_yearly!$D:$AM, 35, FALSE) / VLOOKUP("LULUCF|PM25|Non-fatal heart attacks", US_national_yearly!$D:$AM, 10, FALSE), 1)</f>
        <v>7.6405430239353446E-5</v>
      </c>
      <c r="AB13" s="7">
        <f>$B13 * IFERROR(VLOOKUP("LULUCF|PM25|Non-fatal heart attacks", US_national_yearly!$D:$AM, 36, FALSE) / VLOOKUP("LULUCF|PM25|Non-fatal heart attacks", US_national_yearly!$D:$AM, 10, FALSE), 1)</f>
        <v>7.6712730672609175E-5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3.1105096899363013E-2</v>
      </c>
      <c r="C14" s="7">
        <f>$B14 * IFERROR(VLOOKUP("LULUCF|PM25|Minor restricted activity days", US_national_yearly!$D:$AM, 11, FALSE) / VLOOKUP("LULUCF|PM25|Minor restricted activity days", US_national_yearly!$D:$AM, 10, FALSE), 1)</f>
        <v>3.1181059234772192E-2</v>
      </c>
      <c r="D14" s="7">
        <f>$B14 * IFERROR(VLOOKUP("LULUCF|PM25|Minor restricted activity days", US_national_yearly!$D:$AM, 12, FALSE) / VLOOKUP("LULUCF|PM25|Minor restricted activity days", US_national_yearly!$D:$AM, 10, FALSE), 1)</f>
        <v>3.125702157018137E-2</v>
      </c>
      <c r="E14" s="7">
        <f>$B14 * IFERROR(VLOOKUP("LULUCF|PM25|Minor restricted activity days", US_national_yearly!$D:$AM, 13, FALSE) / VLOOKUP("LULUCF|PM25|Minor restricted activity days", US_national_yearly!$D:$AM, 10, FALSE), 1)</f>
        <v>3.1332983905590556E-2</v>
      </c>
      <c r="F14" s="7">
        <f>$B14 * IFERROR(VLOOKUP("LULUCF|PM25|Minor restricted activity days", US_national_yearly!$D:$AM, 14, FALSE) / VLOOKUP("LULUCF|PM25|Minor restricted activity days", US_national_yearly!$D:$AM, 10, FALSE), 1)</f>
        <v>3.140894624099972E-2</v>
      </c>
      <c r="G14" s="7">
        <f>$B14 * IFERROR(VLOOKUP("LULUCF|PM25|Minor restricted activity days", US_national_yearly!$D:$AM, 15, FALSE) / VLOOKUP("LULUCF|PM25|Minor restricted activity days", US_national_yearly!$D:$AM, 10, FALSE), 1)</f>
        <v>3.152102639354027E-2</v>
      </c>
      <c r="H14" s="7">
        <f>$B14 * IFERROR(VLOOKUP("LULUCF|PM25|Minor restricted activity days", US_national_yearly!$D:$AM, 16, FALSE) / VLOOKUP("LULUCF|PM25|Minor restricted activity days", US_national_yearly!$D:$AM, 10, FALSE), 1)</f>
        <v>3.1633106546080821E-2</v>
      </c>
      <c r="I14" s="7">
        <f>$B14 * IFERROR(VLOOKUP("LULUCF|PM25|Minor restricted activity days", US_national_yearly!$D:$AM, 17, FALSE) / VLOOKUP("LULUCF|PM25|Minor restricted activity days", US_national_yearly!$D:$AM, 10, FALSE), 1)</f>
        <v>3.1824712282154013E-2</v>
      </c>
      <c r="J14" s="7">
        <f>$B14 * IFERROR(VLOOKUP("LULUCF|PM25|Minor restricted activity days", US_national_yearly!$D:$AM, 18, FALSE) / VLOOKUP("LULUCF|PM25|Minor restricted activity days", US_national_yearly!$D:$AM, 10, FALSE), 1)</f>
        <v>3.2016318018227193E-2</v>
      </c>
      <c r="K14" s="7">
        <f>$B14 * IFERROR(VLOOKUP("LULUCF|PM25|Minor restricted activity days", US_national_yearly!$D:$AM, 19, FALSE) / VLOOKUP("LULUCF|PM25|Minor restricted activity days", US_national_yearly!$D:$AM, 10, FALSE), 1)</f>
        <v>3.2207923754300385E-2</v>
      </c>
      <c r="L14" s="7">
        <f>$B14 * IFERROR(VLOOKUP("LULUCF|PM25|Minor restricted activity days", US_national_yearly!$D:$AM, 20, FALSE) / VLOOKUP("LULUCF|PM25|Minor restricted activity days", US_national_yearly!$D:$AM, 10, FALSE), 1)</f>
        <v>3.2399529490373571E-2</v>
      </c>
      <c r="M14" s="7">
        <f>$B14 * IFERROR(VLOOKUP("LULUCF|PM25|Minor restricted activity days", US_national_yearly!$D:$AM, 21, FALSE) / VLOOKUP("LULUCF|PM25|Minor restricted activity days", US_national_yearly!$D:$AM, 10, FALSE), 1)</f>
        <v>3.2591135226446757E-2</v>
      </c>
      <c r="N14" s="7">
        <f>$B14 * IFERROR(VLOOKUP("LULUCF|PM25|Minor restricted activity days", US_national_yearly!$D:$AM, 22, FALSE) / VLOOKUP("LULUCF|PM25|Minor restricted activity days", US_national_yearly!$D:$AM, 10, FALSE), 1)</f>
        <v>3.2852140387612652E-2</v>
      </c>
      <c r="O14" s="7">
        <f>$B14 * IFERROR(VLOOKUP("LULUCF|PM25|Minor restricted activity days", US_national_yearly!$D:$AM, 23, FALSE) / VLOOKUP("LULUCF|PM25|Minor restricted activity days", US_national_yearly!$D:$AM, 10, FALSE), 1)</f>
        <v>3.311314554877854E-2</v>
      </c>
      <c r="P14" s="7">
        <f>$B14 * IFERROR(VLOOKUP("LULUCF|PM25|Minor restricted activity days", US_national_yearly!$D:$AM, 24, FALSE) / VLOOKUP("LULUCF|PM25|Minor restricted activity days", US_national_yearly!$D:$AM, 10, FALSE), 1)</f>
        <v>3.3374150709944428E-2</v>
      </c>
      <c r="Q14" s="7">
        <f>$B14 * IFERROR(VLOOKUP("LULUCF|PM25|Minor restricted activity days", US_national_yearly!$D:$AM, 25, FALSE) / VLOOKUP("LULUCF|PM25|Minor restricted activity days", US_national_yearly!$D:$AM, 10, FALSE), 1)</f>
        <v>3.3635155871110316E-2</v>
      </c>
      <c r="R14" s="7">
        <f>$B14 * IFERROR(VLOOKUP("LULUCF|PM25|Minor restricted activity days", US_national_yearly!$D:$AM, 26, FALSE) / VLOOKUP("LULUCF|PM25|Minor restricted activity days", US_national_yearly!$D:$AM, 10, FALSE), 1)</f>
        <v>3.3896161032276197E-2</v>
      </c>
      <c r="S14" s="7">
        <f>$B14 * IFERROR(VLOOKUP("LULUCF|PM25|Minor restricted activity days", US_national_yearly!$D:$AM, 27, FALSE) / VLOOKUP("LULUCF|PM25|Minor restricted activity days", US_national_yearly!$D:$AM, 10, FALSE), 1)</f>
        <v>3.4158963650461019E-2</v>
      </c>
      <c r="T14" s="7">
        <f>$B14 * IFERROR(VLOOKUP("LULUCF|PM25|Minor restricted activity days", US_national_yearly!$D:$AM, 28, FALSE) / VLOOKUP("LULUCF|PM25|Minor restricted activity days", US_national_yearly!$D:$AM, 10, FALSE), 1)</f>
        <v>3.4421766268645841E-2</v>
      </c>
      <c r="U14" s="7">
        <f>$B14 * IFERROR(VLOOKUP("LULUCF|PM25|Minor restricted activity days", US_national_yearly!$D:$AM, 29, FALSE) / VLOOKUP("LULUCF|PM25|Minor restricted activity days", US_national_yearly!$D:$AM, 10, FALSE), 1)</f>
        <v>3.468456888683067E-2</v>
      </c>
      <c r="V14" s="7">
        <f>$B14 * IFERROR(VLOOKUP("LULUCF|PM25|Minor restricted activity days", US_national_yearly!$D:$AM, 30, FALSE) / VLOOKUP("LULUCF|PM25|Minor restricted activity days", US_national_yearly!$D:$AM, 10, FALSE), 1)</f>
        <v>3.4947371505015493E-2</v>
      </c>
      <c r="W14" s="7">
        <f>$B14 * IFERROR(VLOOKUP("LULUCF|PM25|Minor restricted activity days", US_national_yearly!$D:$AM, 31, FALSE) / VLOOKUP("LULUCF|PM25|Minor restricted activity days", US_national_yearly!$D:$AM, 10, FALSE), 1)</f>
        <v>3.5210174123200315E-2</v>
      </c>
      <c r="X14" s="7">
        <f>$B14 * IFERROR(VLOOKUP("LULUCF|PM25|Minor restricted activity days", US_national_yearly!$D:$AM, 32, FALSE) / VLOOKUP("LULUCF|PM25|Minor restricted activity days", US_national_yearly!$D:$AM, 10, FALSE), 1)</f>
        <v>3.5438313234231154E-2</v>
      </c>
      <c r="Y14" s="7">
        <f>$B14 * IFERROR(VLOOKUP("LULUCF|PM25|Minor restricted activity days", US_national_yearly!$D:$AM, 33, FALSE) / VLOOKUP("LULUCF|PM25|Minor restricted activity days", US_national_yearly!$D:$AM, 10, FALSE), 1)</f>
        <v>3.5666452345261994E-2</v>
      </c>
      <c r="Z14" s="7">
        <f>$B14 * IFERROR(VLOOKUP("LULUCF|PM25|Minor restricted activity days", US_national_yearly!$D:$AM, 34, FALSE) / VLOOKUP("LULUCF|PM25|Minor restricted activity days", US_national_yearly!$D:$AM, 10, FALSE), 1)</f>
        <v>3.5894591456292826E-2</v>
      </c>
      <c r="AA14" s="7">
        <f>$B14 * IFERROR(VLOOKUP("LULUCF|PM25|Minor restricted activity days", US_national_yearly!$D:$AM, 35, FALSE) / VLOOKUP("LULUCF|PM25|Minor restricted activity days", US_national_yearly!$D:$AM, 10, FALSE), 1)</f>
        <v>3.6122730567323659E-2</v>
      </c>
      <c r="AB14" s="7">
        <f>$B14 * IFERROR(VLOOKUP("LULUCF|PM25|Minor restricted activity days", US_national_yearly!$D:$AM, 36, FALSE) / VLOOKUP("LULUCF|PM25|Minor restricted activity days", US_national_yearly!$D:$AM, 10, FALSE), 1)</f>
        <v>3.6350869678354499E-2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5.2127840085063604E-3</v>
      </c>
      <c r="C15" s="7">
        <f>$B15 * IFERROR(VLOOKUP("LULUCF|PM25|Work loss days", US_national_yearly!$D:$AM, 11, FALSE) / VLOOKUP("LULUCF|PM25|Work loss days", US_national_yearly!$D:$AM, 10, FALSE), 1)</f>
        <v>5.2289417614401678E-3</v>
      </c>
      <c r="D15" s="7">
        <f>$B15 * IFERROR(VLOOKUP("LULUCF|PM25|Work loss days", US_national_yearly!$D:$AM, 12, FALSE) / VLOOKUP("LULUCF|PM25|Work loss days", US_national_yearly!$D:$AM, 10, FALSE), 1)</f>
        <v>5.245099514373977E-3</v>
      </c>
      <c r="E15" s="7">
        <f>$B15 * IFERROR(VLOOKUP("LULUCF|PM25|Work loss days", US_national_yearly!$D:$AM, 13, FALSE) / VLOOKUP("LULUCF|PM25|Work loss days", US_national_yearly!$D:$AM, 10, FALSE), 1)</f>
        <v>5.2612572673077845E-3</v>
      </c>
      <c r="F15" s="7">
        <f>$B15 * IFERROR(VLOOKUP("LULUCF|PM25|Work loss days", US_national_yearly!$D:$AM, 14, FALSE) / VLOOKUP("LULUCF|PM25|Work loss days", US_national_yearly!$D:$AM, 10, FALSE), 1)</f>
        <v>5.277415020241592E-3</v>
      </c>
      <c r="G15" s="7">
        <f>$B15 * IFERROR(VLOOKUP("LULUCF|PM25|Work loss days", US_national_yearly!$D:$AM, 15, FALSE) / VLOOKUP("LULUCF|PM25|Work loss days", US_national_yearly!$D:$AM, 10, FALSE), 1)</f>
        <v>5.2985988653795257E-3</v>
      </c>
      <c r="H15" s="7">
        <f>$B15 * IFERROR(VLOOKUP("LULUCF|PM25|Work loss days", US_national_yearly!$D:$AM, 16, FALSE) / VLOOKUP("LULUCF|PM25|Work loss days", US_national_yearly!$D:$AM, 10, FALSE), 1)</f>
        <v>5.3197827105174603E-3</v>
      </c>
      <c r="I15" s="7">
        <f>$B15 * IFERROR(VLOOKUP("LULUCF|PM25|Work loss days", US_national_yearly!$D:$AM, 17, FALSE) / VLOOKUP("LULUCF|PM25|Work loss days", US_national_yearly!$D:$AM, 10, FALSE), 1)</f>
        <v>5.3509782523863238E-3</v>
      </c>
      <c r="J15" s="7">
        <f>$B15 * IFERROR(VLOOKUP("LULUCF|PM25|Work loss days", US_national_yearly!$D:$AM, 18, FALSE) / VLOOKUP("LULUCF|PM25|Work loss days", US_national_yearly!$D:$AM, 10, FALSE), 1)</f>
        <v>5.3821737942551873E-3</v>
      </c>
      <c r="K15" s="7">
        <f>$B15 * IFERROR(VLOOKUP("LULUCF|PM25|Work loss days", US_national_yearly!$D:$AM, 19, FALSE) / VLOOKUP("LULUCF|PM25|Work loss days", US_national_yearly!$D:$AM, 10, FALSE), 1)</f>
        <v>5.4133693361240508E-3</v>
      </c>
      <c r="L15" s="7">
        <f>$B15 * IFERROR(VLOOKUP("LULUCF|PM25|Work loss days", US_national_yearly!$D:$AM, 20, FALSE) / VLOOKUP("LULUCF|PM25|Work loss days", US_national_yearly!$D:$AM, 10, FALSE), 1)</f>
        <v>5.4445648779929143E-3</v>
      </c>
      <c r="M15" s="7">
        <f>$B15 * IFERROR(VLOOKUP("LULUCF|PM25|Work loss days", US_national_yearly!$D:$AM, 21, FALSE) / VLOOKUP("LULUCF|PM25|Work loss days", US_national_yearly!$D:$AM, 10, FALSE), 1)</f>
        <v>5.4757604198617787E-3</v>
      </c>
      <c r="N15" s="7">
        <f>$B15 * IFERROR(VLOOKUP("LULUCF|PM25|Work loss days", US_national_yearly!$D:$AM, 22, FALSE) / VLOOKUP("LULUCF|PM25|Work loss days", US_national_yearly!$D:$AM, 10, FALSE), 1)</f>
        <v>5.5150223704569061E-3</v>
      </c>
      <c r="O15" s="7">
        <f>$B15 * IFERROR(VLOOKUP("LULUCF|PM25|Work loss days", US_national_yearly!$D:$AM, 23, FALSE) / VLOOKUP("LULUCF|PM25|Work loss days", US_national_yearly!$D:$AM, 10, FALSE), 1)</f>
        <v>5.5542843210520335E-3</v>
      </c>
      <c r="P15" s="7">
        <f>$B15 * IFERROR(VLOOKUP("LULUCF|PM25|Work loss days", US_national_yearly!$D:$AM, 24, FALSE) / VLOOKUP("LULUCF|PM25|Work loss days", US_national_yearly!$D:$AM, 10, FALSE), 1)</f>
        <v>5.593546271647161E-3</v>
      </c>
      <c r="Q15" s="7">
        <f>$B15 * IFERROR(VLOOKUP("LULUCF|PM25|Work loss days", US_national_yearly!$D:$AM, 25, FALSE) / VLOOKUP("LULUCF|PM25|Work loss days", US_national_yearly!$D:$AM, 10, FALSE), 1)</f>
        <v>5.6328082222422884E-3</v>
      </c>
      <c r="R15" s="7">
        <f>$B15 * IFERROR(VLOOKUP("LULUCF|PM25|Work loss days", US_national_yearly!$D:$AM, 26, FALSE) / VLOOKUP("LULUCF|PM25|Work loss days", US_national_yearly!$D:$AM, 10, FALSE), 1)</f>
        <v>5.6720701728374167E-3</v>
      </c>
      <c r="S15" s="7">
        <f>$B15 * IFERROR(VLOOKUP("LULUCF|PM25|Work loss days", US_national_yearly!$D:$AM, 27, FALSE) / VLOOKUP("LULUCF|PM25|Work loss days", US_national_yearly!$D:$AM, 10, FALSE), 1)</f>
        <v>5.7154955664238732E-3</v>
      </c>
      <c r="T15" s="7">
        <f>$B15 * IFERROR(VLOOKUP("LULUCF|PM25|Work loss days", US_national_yearly!$D:$AM, 28, FALSE) / VLOOKUP("LULUCF|PM25|Work loss days", US_national_yearly!$D:$AM, 10, FALSE), 1)</f>
        <v>5.7589209600103315E-3</v>
      </c>
      <c r="U15" s="7">
        <f>$B15 * IFERROR(VLOOKUP("LULUCF|PM25|Work loss days", US_national_yearly!$D:$AM, 29, FALSE) / VLOOKUP("LULUCF|PM25|Work loss days", US_national_yearly!$D:$AM, 10, FALSE), 1)</f>
        <v>5.802346353596788E-3</v>
      </c>
      <c r="V15" s="7">
        <f>$B15 * IFERROR(VLOOKUP("LULUCF|PM25|Work loss days", US_national_yearly!$D:$AM, 30, FALSE) / VLOOKUP("LULUCF|PM25|Work loss days", US_national_yearly!$D:$AM, 10, FALSE), 1)</f>
        <v>5.8457717471832463E-3</v>
      </c>
      <c r="W15" s="7">
        <f>$B15 * IFERROR(VLOOKUP("LULUCF|PM25|Work loss days", US_national_yearly!$D:$AM, 31, FALSE) / VLOOKUP("LULUCF|PM25|Work loss days", US_national_yearly!$D:$AM, 10, FALSE), 1)</f>
        <v>5.8891971407697028E-3</v>
      </c>
      <c r="X15" s="7">
        <f>$B15 * IFERROR(VLOOKUP("LULUCF|PM25|Work loss days", US_national_yearly!$D:$AM, 32, FALSE) / VLOOKUP("LULUCF|PM25|Work loss days", US_national_yearly!$D:$AM, 10, FALSE), 1)</f>
        <v>5.9277271768668448E-3</v>
      </c>
      <c r="Y15" s="7">
        <f>$B15 * IFERROR(VLOOKUP("LULUCF|PM25|Work loss days", US_national_yearly!$D:$AM, 33, FALSE) / VLOOKUP("LULUCF|PM25|Work loss days", US_national_yearly!$D:$AM, 10, FALSE), 1)</f>
        <v>5.9662572129639858E-3</v>
      </c>
      <c r="Z15" s="7">
        <f>$B15 * IFERROR(VLOOKUP("LULUCF|PM25|Work loss days", US_national_yearly!$D:$AM, 34, FALSE) / VLOOKUP("LULUCF|PM25|Work loss days", US_national_yearly!$D:$AM, 10, FALSE), 1)</f>
        <v>6.0047872490611286E-3</v>
      </c>
      <c r="AA15" s="7">
        <f>$B15 * IFERROR(VLOOKUP("LULUCF|PM25|Work loss days", US_national_yearly!$D:$AM, 35, FALSE) / VLOOKUP("LULUCF|PM25|Work loss days", US_national_yearly!$D:$AM, 10, FALSE), 1)</f>
        <v>6.0433172851582714E-3</v>
      </c>
      <c r="AB15" s="7">
        <f>$B15 * IFERROR(VLOOKUP("LULUCF|PM25|Work loss days", US_national_yearly!$D:$AM, 36, FALSE) / VLOOKUP("LULUCF|PM25|Work loss days", US_national_yearly!$D:$AM, 10, FALSE), 1)</f>
        <v>6.0818473212554125E-3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1.3941860895127014E-5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1.4358453420568018E-5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1.4775045946009025E-5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1.519163847145003E-5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1.5608230996891039E-5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1.6007252221694411E-5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1.6406273446497794E-5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1.6747538305093074E-5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1.7088803163688354E-5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1.7430068022283631E-5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1.7771332880878918E-5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1.8112597739474195E-5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1.834012681223134E-5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1.8567655884988489E-5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1.8795184957745634E-5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1.902271403050278E-5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1.9250243103259925E-5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1.9370627225105861E-5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1.949101134695179E-5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1.961139546879772E-5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1.9731779590643649E-5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1.9852163712489582E-5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1.9933207886845403E-5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2.0014252061201225E-5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2.009529623555705E-5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2.0176340409912872E-5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2.0257384584268693E-5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1.280521060061467E-4</v>
      </c>
      <c r="C2" s="7">
        <f>$B2 * IFERROR(VLOOKUP("LULUCF|NOx|Premature mortality", US_national_yearly!$D:$AM, 11, FALSE) / VLOOKUP("LULUCF|NOx|Premature mortality", US_national_yearly!$D:$AM, 10, FALSE), 1)</f>
        <v>1.2993297500288572E-4</v>
      </c>
      <c r="D2" s="7">
        <f>$B2 * IFERROR(VLOOKUP("LULUCF|NOx|Premature mortality", US_national_yearly!$D:$AM, 12, FALSE) / VLOOKUP("LULUCF|NOx|Premature mortality", US_national_yearly!$D:$AM, 10, FALSE), 1)</f>
        <v>1.3181384399962474E-4</v>
      </c>
      <c r="E2" s="7">
        <f>$B2 * IFERROR(VLOOKUP("LULUCF|NOx|Premature mortality", US_national_yearly!$D:$AM, 13, FALSE) / VLOOKUP("LULUCF|NOx|Premature mortality", US_national_yearly!$D:$AM, 10, FALSE), 1)</f>
        <v>1.3369471299636376E-4</v>
      </c>
      <c r="F2" s="7">
        <f>$B2 * IFERROR(VLOOKUP("LULUCF|NOx|Premature mortality", US_national_yearly!$D:$AM, 14, FALSE) / VLOOKUP("LULUCF|NOx|Premature mortality", US_national_yearly!$D:$AM, 10, FALSE), 1)</f>
        <v>1.355755819931028E-4</v>
      </c>
      <c r="G2" s="7">
        <f>$B2 * IFERROR(VLOOKUP("LULUCF|NOx|Premature mortality", US_national_yearly!$D:$AM, 15, FALSE) / VLOOKUP("LULUCF|NOx|Premature mortality", US_national_yearly!$D:$AM, 10, FALSE), 1)</f>
        <v>1.3895406739420206E-4</v>
      </c>
      <c r="H2" s="7">
        <f>$B2 * IFERROR(VLOOKUP("LULUCF|NOx|Premature mortality", US_national_yearly!$D:$AM, 16, FALSE) / VLOOKUP("LULUCF|NOx|Premature mortality", US_national_yearly!$D:$AM, 10, FALSE), 1)</f>
        <v>1.423325527953014E-4</v>
      </c>
      <c r="I2" s="7">
        <f>$B2 * IFERROR(VLOOKUP("LULUCF|NOx|Premature mortality", US_national_yearly!$D:$AM, 17, FALSE) / VLOOKUP("LULUCF|NOx|Premature mortality", US_national_yearly!$D:$AM, 10, FALSE), 1)</f>
        <v>1.4451342920696739E-4</v>
      </c>
      <c r="J2" s="7">
        <f>$B2 * IFERROR(VLOOKUP("LULUCF|NOx|Premature mortality", US_national_yearly!$D:$AM, 18, FALSE) / VLOOKUP("LULUCF|NOx|Premature mortality", US_national_yearly!$D:$AM, 10, FALSE), 1)</f>
        <v>1.466943056186334E-4</v>
      </c>
      <c r="K2" s="7">
        <f>$B2 * IFERROR(VLOOKUP("LULUCF|NOx|Premature mortality", US_national_yearly!$D:$AM, 19, FALSE) / VLOOKUP("LULUCF|NOx|Premature mortality", US_national_yearly!$D:$AM, 10, FALSE), 1)</f>
        <v>1.4887518203029942E-4</v>
      </c>
      <c r="L2" s="7">
        <f>$B2 * IFERROR(VLOOKUP("LULUCF|NOx|Premature mortality", US_national_yearly!$D:$AM, 20, FALSE) / VLOOKUP("LULUCF|NOx|Premature mortality", US_national_yearly!$D:$AM, 10, FALSE), 1)</f>
        <v>1.510560584419654E-4</v>
      </c>
      <c r="M2" s="7">
        <f>$B2 * IFERROR(VLOOKUP("LULUCF|NOx|Premature mortality", US_national_yearly!$D:$AM, 21, FALSE) / VLOOKUP("LULUCF|NOx|Premature mortality", US_national_yearly!$D:$AM, 10, FALSE), 1)</f>
        <v>1.5323693485363145E-4</v>
      </c>
      <c r="N2" s="7">
        <f>$B2 * IFERROR(VLOOKUP("LULUCF|NOx|Premature mortality", US_national_yearly!$D:$AM, 22, FALSE) / VLOOKUP("LULUCF|NOx|Premature mortality", US_national_yearly!$D:$AM, 10, FALSE), 1)</f>
        <v>1.5485251962114125E-4</v>
      </c>
      <c r="O2" s="7">
        <f>$B2 * IFERROR(VLOOKUP("LULUCF|NOx|Premature mortality", US_national_yearly!$D:$AM, 23, FALSE) / VLOOKUP("LULUCF|NOx|Premature mortality", US_national_yearly!$D:$AM, 10, FALSE), 1)</f>
        <v>1.5646810438865109E-4</v>
      </c>
      <c r="P2" s="7">
        <f>$B2 * IFERROR(VLOOKUP("LULUCF|NOx|Premature mortality", US_national_yearly!$D:$AM, 24, FALSE) / VLOOKUP("LULUCF|NOx|Premature mortality", US_national_yearly!$D:$AM, 10, FALSE), 1)</f>
        <v>1.580836891561609E-4</v>
      </c>
      <c r="Q2" s="7">
        <f>$B2 * IFERROR(VLOOKUP("LULUCF|NOx|Premature mortality", US_national_yearly!$D:$AM, 25, FALSE) / VLOOKUP("LULUCF|NOx|Premature mortality", US_national_yearly!$D:$AM, 10, FALSE), 1)</f>
        <v>1.5969927392367076E-4</v>
      </c>
      <c r="R2" s="7">
        <f>$B2 * IFERROR(VLOOKUP("LULUCF|NOx|Premature mortality", US_national_yearly!$D:$AM, 26, FALSE) / VLOOKUP("LULUCF|NOx|Premature mortality", US_national_yearly!$D:$AM, 10, FALSE), 1)</f>
        <v>1.6131485869118057E-4</v>
      </c>
      <c r="S2" s="7">
        <f>$B2 * IFERROR(VLOOKUP("LULUCF|NOx|Premature mortality", US_national_yearly!$D:$AM, 27, FALSE) / VLOOKUP("LULUCF|NOx|Premature mortality", US_national_yearly!$D:$AM, 10, FALSE), 1)</f>
        <v>1.6204915823673621E-4</v>
      </c>
      <c r="T2" s="7">
        <f>$B2 * IFERROR(VLOOKUP("LULUCF|NOx|Premature mortality", US_national_yearly!$D:$AM, 28, FALSE) / VLOOKUP("LULUCF|NOx|Premature mortality", US_national_yearly!$D:$AM, 10, FALSE), 1)</f>
        <v>1.6278345778229184E-4</v>
      </c>
      <c r="U2" s="7">
        <f>$B2 * IFERROR(VLOOKUP("LULUCF|NOx|Premature mortality", US_national_yearly!$D:$AM, 29, FALSE) / VLOOKUP("LULUCF|NOx|Premature mortality", US_national_yearly!$D:$AM, 10, FALSE), 1)</f>
        <v>1.6351775732784747E-4</v>
      </c>
      <c r="V2" s="7">
        <f>$B2 * IFERROR(VLOOKUP("LULUCF|NOx|Premature mortality", US_national_yearly!$D:$AM, 30, FALSE) / VLOOKUP("LULUCF|NOx|Premature mortality", US_national_yearly!$D:$AM, 10, FALSE), 1)</f>
        <v>1.6425205687340311E-4</v>
      </c>
      <c r="W2" s="7">
        <f>$B2 * IFERROR(VLOOKUP("LULUCF|NOx|Premature mortality", US_national_yearly!$D:$AM, 31, FALSE) / VLOOKUP("LULUCF|NOx|Premature mortality", US_national_yearly!$D:$AM, 10, FALSE), 1)</f>
        <v>1.6498635641895874E-4</v>
      </c>
      <c r="X2" s="7">
        <f>$B2 * IFERROR(VLOOKUP("LULUCF|NOx|Premature mortality", US_national_yearly!$D:$AM, 32, FALSE) / VLOOKUP("LULUCF|NOx|Premature mortality", US_national_yearly!$D:$AM, 10, FALSE), 1)</f>
        <v>1.6501179213372549E-4</v>
      </c>
      <c r="Y2" s="7">
        <f>$B2 * IFERROR(VLOOKUP("LULUCF|NOx|Premature mortality", US_national_yearly!$D:$AM, 33, FALSE) / VLOOKUP("LULUCF|NOx|Premature mortality", US_national_yearly!$D:$AM, 10, FALSE), 1)</f>
        <v>1.6503722784849223E-4</v>
      </c>
      <c r="Z2" s="7">
        <f>$B2 * IFERROR(VLOOKUP("LULUCF|NOx|Premature mortality", US_national_yearly!$D:$AM, 34, FALSE) / VLOOKUP("LULUCF|NOx|Premature mortality", US_national_yearly!$D:$AM, 10, FALSE), 1)</f>
        <v>1.6506266356325895E-4</v>
      </c>
      <c r="AA2" s="7">
        <f>$B2 * IFERROR(VLOOKUP("LULUCF|NOx|Premature mortality", US_national_yearly!$D:$AM, 35, FALSE) / VLOOKUP("LULUCF|NOx|Premature mortality", US_national_yearly!$D:$AM, 10, FALSE), 1)</f>
        <v>1.6508809927802572E-4</v>
      </c>
      <c r="AB2" s="7">
        <f>$B2 * IFERROR(VLOOKUP("LULUCF|NOx|Premature mortality", US_national_yearly!$D:$AM, 36, FALSE) / VLOOKUP("LULUCF|NOx|Premature mortality", US_national_yearly!$D:$AM, 10, FALSE), 1)</f>
        <v>1.6511353499279243E-4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3.1611084331665123E-7</v>
      </c>
      <c r="C3" s="7">
        <f>$B3 * IFERROR(VLOOKUP("LULUCF|NOx|Infant mortality", US_national_yearly!$D:$AM, 11, FALSE) / VLOOKUP("LULUCF|NOx|Infant mortality", US_national_yearly!$D:$AM, 10, FALSE), 1)</f>
        <v>3.130990820322624E-7</v>
      </c>
      <c r="D3" s="7">
        <f>$B3 * IFERROR(VLOOKUP("LULUCF|NOx|Infant mortality", US_national_yearly!$D:$AM, 12, FALSE) / VLOOKUP("LULUCF|NOx|Infant mortality", US_national_yearly!$D:$AM, 10, FALSE), 1)</f>
        <v>3.1008732074787351E-7</v>
      </c>
      <c r="E3" s="7">
        <f>$B3 * IFERROR(VLOOKUP("LULUCF|NOx|Infant mortality", US_national_yearly!$D:$AM, 13, FALSE) / VLOOKUP("LULUCF|NOx|Infant mortality", US_national_yearly!$D:$AM, 10, FALSE), 1)</f>
        <v>3.0707555946348468E-7</v>
      </c>
      <c r="F3" s="7">
        <f>$B3 * IFERROR(VLOOKUP("LULUCF|NOx|Infant mortality", US_national_yearly!$D:$AM, 14, FALSE) / VLOOKUP("LULUCF|NOx|Infant mortality", US_national_yearly!$D:$AM, 10, FALSE), 1)</f>
        <v>3.0406379817909585E-7</v>
      </c>
      <c r="G3" s="7">
        <f>$B3 * IFERROR(VLOOKUP("LULUCF|NOx|Infant mortality", US_national_yearly!$D:$AM, 15, FALSE) / VLOOKUP("LULUCF|NOx|Infant mortality", US_national_yearly!$D:$AM, 10, FALSE), 1)</f>
        <v>2.0185256420042439E-7</v>
      </c>
      <c r="H3" s="7">
        <f>$B3 * IFERROR(VLOOKUP("LULUCF|NOx|Infant mortality", US_national_yearly!$D:$AM, 16, FALSE) / VLOOKUP("LULUCF|NOx|Infant mortality", US_national_yearly!$D:$AM, 10, FALSE), 1)</f>
        <v>9.9641330221752939E-8</v>
      </c>
      <c r="I3" s="7">
        <f>$B3 * IFERROR(VLOOKUP("LULUCF|NOx|Infant mortality", US_national_yearly!$D:$AM, 17, FALSE) / VLOOKUP("LULUCF|NOx|Infant mortality", US_national_yearly!$D:$AM, 10, FALSE), 1)</f>
        <v>9.8936770879155369E-8</v>
      </c>
      <c r="J3" s="7">
        <f>$B3 * IFERROR(VLOOKUP("LULUCF|NOx|Infant mortality", US_national_yearly!$D:$AM, 18, FALSE) / VLOOKUP("LULUCF|NOx|Infant mortality", US_national_yearly!$D:$AM, 10, FALSE), 1)</f>
        <v>9.8232211536557772E-8</v>
      </c>
      <c r="K3" s="7">
        <f>$B3 * IFERROR(VLOOKUP("LULUCF|NOx|Infant mortality", US_national_yearly!$D:$AM, 19, FALSE) / VLOOKUP("LULUCF|NOx|Infant mortality", US_national_yearly!$D:$AM, 10, FALSE), 1)</f>
        <v>9.7527652193960202E-8</v>
      </c>
      <c r="L3" s="7">
        <f>$B3 * IFERROR(VLOOKUP("LULUCF|NOx|Infant mortality", US_national_yearly!$D:$AM, 20, FALSE) / VLOOKUP("LULUCF|NOx|Infant mortality", US_national_yearly!$D:$AM, 10, FALSE), 1)</f>
        <v>9.6823092851362631E-8</v>
      </c>
      <c r="M3" s="7">
        <f>$B3 * IFERROR(VLOOKUP("LULUCF|NOx|Infant mortality", US_national_yearly!$D:$AM, 21, FALSE) / VLOOKUP("LULUCF|NOx|Infant mortality", US_national_yearly!$D:$AM, 10, FALSE), 1)</f>
        <v>9.6118533508765048E-8</v>
      </c>
      <c r="N3" s="7">
        <f>$B3 * IFERROR(VLOOKUP("LULUCF|NOx|Infant mortality", US_national_yearly!$D:$AM, 22, FALSE) / VLOOKUP("LULUCF|NOx|Infant mortality", US_national_yearly!$D:$AM, 10, FALSE), 1)</f>
        <v>9.5650876476525451E-8</v>
      </c>
      <c r="O3" s="7">
        <f>$B3 * IFERROR(VLOOKUP("LULUCF|NOx|Infant mortality", US_national_yearly!$D:$AM, 23, FALSE) / VLOOKUP("LULUCF|NOx|Infant mortality", US_national_yearly!$D:$AM, 10, FALSE), 1)</f>
        <v>9.5183219444285867E-8</v>
      </c>
      <c r="P3" s="7">
        <f>$B3 * IFERROR(VLOOKUP("LULUCF|NOx|Infant mortality", US_national_yearly!$D:$AM, 24, FALSE) / VLOOKUP("LULUCF|NOx|Infant mortality", US_national_yearly!$D:$AM, 10, FALSE), 1)</f>
        <v>9.471556241204627E-8</v>
      </c>
      <c r="Q3" s="7">
        <f>$B3 * IFERROR(VLOOKUP("LULUCF|NOx|Infant mortality", US_national_yearly!$D:$AM, 25, FALSE) / VLOOKUP("LULUCF|NOx|Infant mortality", US_national_yearly!$D:$AM, 10, FALSE), 1)</f>
        <v>9.4247905379806686E-8</v>
      </c>
      <c r="R3" s="7">
        <f>$B3 * IFERROR(VLOOKUP("LULUCF|NOx|Infant mortality", US_national_yearly!$D:$AM, 26, FALSE) / VLOOKUP("LULUCF|NOx|Infant mortality", US_national_yearly!$D:$AM, 10, FALSE), 1)</f>
        <v>9.3780248347567089E-8</v>
      </c>
      <c r="S3" s="7">
        <f>$B3 * IFERROR(VLOOKUP("LULUCF|NOx|Infant mortality", US_national_yearly!$D:$AM, 27, FALSE) / VLOOKUP("LULUCF|NOx|Infant mortality", US_national_yearly!$D:$AM, 10, FALSE), 1)</f>
        <v>9.3218050226204692E-8</v>
      </c>
      <c r="T3" s="7">
        <f>$B3 * IFERROR(VLOOKUP("LULUCF|NOx|Infant mortality", US_national_yearly!$D:$AM, 28, FALSE) / VLOOKUP("LULUCF|NOx|Infant mortality", US_national_yearly!$D:$AM, 10, FALSE), 1)</f>
        <v>9.2655852104842296E-8</v>
      </c>
      <c r="U3" s="7">
        <f>$B3 * IFERROR(VLOOKUP("LULUCF|NOx|Infant mortality", US_national_yearly!$D:$AM, 29, FALSE) / VLOOKUP("LULUCF|NOx|Infant mortality", US_national_yearly!$D:$AM, 10, FALSE), 1)</f>
        <v>9.2093653983479912E-8</v>
      </c>
      <c r="V3" s="7">
        <f>$B3 * IFERROR(VLOOKUP("LULUCF|NOx|Infant mortality", US_national_yearly!$D:$AM, 30, FALSE) / VLOOKUP("LULUCF|NOx|Infant mortality", US_national_yearly!$D:$AM, 10, FALSE), 1)</f>
        <v>9.1531455862117516E-8</v>
      </c>
      <c r="W3" s="7">
        <f>$B3 * IFERROR(VLOOKUP("LULUCF|NOx|Infant mortality", US_national_yearly!$D:$AM, 31, FALSE) / VLOOKUP("LULUCF|NOx|Infant mortality", US_national_yearly!$D:$AM, 10, FALSE), 1)</f>
        <v>9.0969257740755119E-8</v>
      </c>
      <c r="X3" s="7">
        <f>$B3 * IFERROR(VLOOKUP("LULUCF|NOx|Infant mortality", US_national_yearly!$D:$AM, 32, FALSE) / VLOOKUP("LULUCF|NOx|Infant mortality", US_national_yearly!$D:$AM, 10, FALSE), 1)</f>
        <v>9.0373862743440819E-8</v>
      </c>
      <c r="Y3" s="7">
        <f>$B3 * IFERROR(VLOOKUP("LULUCF|NOx|Infant mortality", US_national_yearly!$D:$AM, 33, FALSE) / VLOOKUP("LULUCF|NOx|Infant mortality", US_national_yearly!$D:$AM, 10, FALSE), 1)</f>
        <v>8.9778467746126493E-8</v>
      </c>
      <c r="Z3" s="7">
        <f>$B3 * IFERROR(VLOOKUP("LULUCF|NOx|Infant mortality", US_national_yearly!$D:$AM, 34, FALSE) / VLOOKUP("LULUCF|NOx|Infant mortality", US_national_yearly!$D:$AM, 10, FALSE), 1)</f>
        <v>8.918307274881218E-8</v>
      </c>
      <c r="AA3" s="7">
        <f>$B3 * IFERROR(VLOOKUP("LULUCF|NOx|Infant mortality", US_national_yearly!$D:$AM, 35, FALSE) / VLOOKUP("LULUCF|NOx|Infant mortality", US_national_yearly!$D:$AM, 10, FALSE), 1)</f>
        <v>8.8587677751497853E-8</v>
      </c>
      <c r="AB3" s="7">
        <f>$B3 * IFERROR(VLOOKUP("LULUCF|NOx|Infant mortality", US_national_yearly!$D:$AM, 36, FALSE) / VLOOKUP("LULUCF|NOx|Infant mortality", US_national_yearly!$D:$AM, 10, FALSE), 1)</f>
        <v>8.799228275418354E-8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2.6742336943918912E-4</v>
      </c>
      <c r="C6" s="7">
        <f>$B6 * IFERROR(VLOOKUP("LULUCF|NOx|Asthma symptoms cough", US_national_yearly!$D:$AM, 11, FALSE) / VLOOKUP("LULUCF|NOx|Asthma symptoms cough", US_national_yearly!$D:$AM, 10, FALSE), 1)</f>
        <v>2.7107948411932468E-4</v>
      </c>
      <c r="D6" s="7">
        <f>$B6 * IFERROR(VLOOKUP("LULUCF|NOx|Asthma symptoms cough", US_national_yearly!$D:$AM, 12, FALSE) / VLOOKUP("LULUCF|NOx|Asthma symptoms cough", US_national_yearly!$D:$AM, 10, FALSE), 1)</f>
        <v>2.7473559879946023E-4</v>
      </c>
      <c r="E6" s="7">
        <f>$B6 * IFERROR(VLOOKUP("LULUCF|NOx|Asthma symptoms cough", US_national_yearly!$D:$AM, 13, FALSE) / VLOOKUP("LULUCF|NOx|Asthma symptoms cough", US_national_yearly!$D:$AM, 10, FALSE), 1)</f>
        <v>2.7839171347959578E-4</v>
      </c>
      <c r="F6" s="7">
        <f>$B6 * IFERROR(VLOOKUP("LULUCF|NOx|Asthma symptoms cough", US_national_yearly!$D:$AM, 14, FALSE) / VLOOKUP("LULUCF|NOx|Asthma symptoms cough", US_national_yearly!$D:$AM, 10, FALSE), 1)</f>
        <v>2.8204782815973134E-4</v>
      </c>
      <c r="G6" s="7">
        <f>$B6 * IFERROR(VLOOKUP("LULUCF|NOx|Asthma symptoms cough", US_national_yearly!$D:$AM, 15, FALSE) / VLOOKUP("LULUCF|NOx|Asthma symptoms cough", US_national_yearly!$D:$AM, 10, FALSE), 1)</f>
        <v>2.8496672482430973E-4</v>
      </c>
      <c r="H6" s="7">
        <f>$B6 * IFERROR(VLOOKUP("LULUCF|NOx|Asthma symptoms cough", US_national_yearly!$D:$AM, 16, FALSE) / VLOOKUP("LULUCF|NOx|Asthma symptoms cough", US_national_yearly!$D:$AM, 10, FALSE), 1)</f>
        <v>2.8788562148888817E-4</v>
      </c>
      <c r="I6" s="7">
        <f>$B6 * IFERROR(VLOOKUP("LULUCF|NOx|Asthma symptoms cough", US_national_yearly!$D:$AM, 17, FALSE) / VLOOKUP("LULUCF|NOx|Asthma symptoms cough", US_national_yearly!$D:$AM, 10, FALSE), 1)</f>
        <v>2.8889026399301525E-4</v>
      </c>
      <c r="J6" s="7">
        <f>$B6 * IFERROR(VLOOKUP("LULUCF|NOx|Asthma symptoms cough", US_national_yearly!$D:$AM, 18, FALSE) / VLOOKUP("LULUCF|NOx|Asthma symptoms cough", US_national_yearly!$D:$AM, 10, FALSE), 1)</f>
        <v>2.8989490649714234E-4</v>
      </c>
      <c r="K6" s="7">
        <f>$B6 * IFERROR(VLOOKUP("LULUCF|NOx|Asthma symptoms cough", US_national_yearly!$D:$AM, 19, FALSE) / VLOOKUP("LULUCF|NOx|Asthma symptoms cough", US_national_yearly!$D:$AM, 10, FALSE), 1)</f>
        <v>2.9089954900126942E-4</v>
      </c>
      <c r="L6" s="7">
        <f>$B6 * IFERROR(VLOOKUP("LULUCF|NOx|Asthma symptoms cough", US_national_yearly!$D:$AM, 20, FALSE) / VLOOKUP("LULUCF|NOx|Asthma symptoms cough", US_national_yearly!$D:$AM, 10, FALSE), 1)</f>
        <v>2.919041915053965E-4</v>
      </c>
      <c r="M6" s="7">
        <f>$B6 * IFERROR(VLOOKUP("LULUCF|NOx|Asthma symptoms cough", US_national_yearly!$D:$AM, 21, FALSE) / VLOOKUP("LULUCF|NOx|Asthma symptoms cough", US_national_yearly!$D:$AM, 10, FALSE), 1)</f>
        <v>2.9290883400952359E-4</v>
      </c>
      <c r="N6" s="7">
        <f>$B6 * IFERROR(VLOOKUP("LULUCF|NOx|Asthma symptoms cough", US_national_yearly!$D:$AM, 22, FALSE) / VLOOKUP("LULUCF|NOx|Asthma symptoms cough", US_national_yearly!$D:$AM, 10, FALSE), 1)</f>
        <v>2.9407379180604315E-4</v>
      </c>
      <c r="O6" s="7">
        <f>$B6 * IFERROR(VLOOKUP("LULUCF|NOx|Asthma symptoms cough", US_national_yearly!$D:$AM, 23, FALSE) / VLOOKUP("LULUCF|NOx|Asthma symptoms cough", US_national_yearly!$D:$AM, 10, FALSE), 1)</f>
        <v>2.9523874960256271E-4</v>
      </c>
      <c r="P6" s="7">
        <f>$B6 * IFERROR(VLOOKUP("LULUCF|NOx|Asthma symptoms cough", US_national_yearly!$D:$AM, 24, FALSE) / VLOOKUP("LULUCF|NOx|Asthma symptoms cough", US_national_yearly!$D:$AM, 10, FALSE), 1)</f>
        <v>2.9640370739908233E-4</v>
      </c>
      <c r="Q6" s="7">
        <f>$B6 * IFERROR(VLOOKUP("LULUCF|NOx|Asthma symptoms cough", US_national_yearly!$D:$AM, 25, FALSE) / VLOOKUP("LULUCF|NOx|Asthma symptoms cough", US_national_yearly!$D:$AM, 10, FALSE), 1)</f>
        <v>2.9756866519560195E-4</v>
      </c>
      <c r="R6" s="7">
        <f>$B6 * IFERROR(VLOOKUP("LULUCF|NOx|Asthma symptoms cough", US_national_yearly!$D:$AM, 26, FALSE) / VLOOKUP("LULUCF|NOx|Asthma symptoms cough", US_national_yearly!$D:$AM, 10, FALSE), 1)</f>
        <v>2.9873362299212151E-4</v>
      </c>
      <c r="S6" s="7">
        <f>$B6 * IFERROR(VLOOKUP("LULUCF|NOx|Asthma symptoms cough", US_national_yearly!$D:$AM, 27, FALSE) / VLOOKUP("LULUCF|NOx|Asthma symptoms cough", US_national_yearly!$D:$AM, 10, FALSE), 1)</f>
        <v>3.0025542891068489E-4</v>
      </c>
      <c r="T6" s="7">
        <f>$B6 * IFERROR(VLOOKUP("LULUCF|NOx|Asthma symptoms cough", US_national_yearly!$D:$AM, 28, FALSE) / VLOOKUP("LULUCF|NOx|Asthma symptoms cough", US_national_yearly!$D:$AM, 10, FALSE), 1)</f>
        <v>3.0177723482924826E-4</v>
      </c>
      <c r="U6" s="7">
        <f>$B6 * IFERROR(VLOOKUP("LULUCF|NOx|Asthma symptoms cough", US_national_yearly!$D:$AM, 29, FALSE) / VLOOKUP("LULUCF|NOx|Asthma symptoms cough", US_national_yearly!$D:$AM, 10, FALSE), 1)</f>
        <v>3.0329904074781152E-4</v>
      </c>
      <c r="V6" s="7">
        <f>$B6 * IFERROR(VLOOKUP("LULUCF|NOx|Asthma symptoms cough", US_national_yearly!$D:$AM, 30, FALSE) / VLOOKUP("LULUCF|NOx|Asthma symptoms cough", US_national_yearly!$D:$AM, 10, FALSE), 1)</f>
        <v>3.0482084666637495E-4</v>
      </c>
      <c r="W6" s="7">
        <f>$B6 * IFERROR(VLOOKUP("LULUCF|NOx|Asthma symptoms cough", US_national_yearly!$D:$AM, 31, FALSE) / VLOOKUP("LULUCF|NOx|Asthma symptoms cough", US_national_yearly!$D:$AM, 10, FALSE), 1)</f>
        <v>3.0634265258493827E-4</v>
      </c>
      <c r="X6" s="7">
        <f>$B6 * IFERROR(VLOOKUP("LULUCF|NOx|Asthma symptoms cough", US_national_yearly!$D:$AM, 32, FALSE) / VLOOKUP("LULUCF|NOx|Asthma symptoms cough", US_national_yearly!$D:$AM, 10, FALSE), 1)</f>
        <v>3.0775662894480055E-4</v>
      </c>
      <c r="Y6" s="7">
        <f>$B6 * IFERROR(VLOOKUP("LULUCF|NOx|Asthma symptoms cough", US_national_yearly!$D:$AM, 33, FALSE) / VLOOKUP("LULUCF|NOx|Asthma symptoms cough", US_national_yearly!$D:$AM, 10, FALSE), 1)</f>
        <v>3.0917060530466278E-4</v>
      </c>
      <c r="Z6" s="7">
        <f>$B6 * IFERROR(VLOOKUP("LULUCF|NOx|Asthma symptoms cough", US_national_yearly!$D:$AM, 34, FALSE) / VLOOKUP("LULUCF|NOx|Asthma symptoms cough", US_national_yearly!$D:$AM, 10, FALSE), 1)</f>
        <v>3.1058458166452501E-4</v>
      </c>
      <c r="AA6" s="7">
        <f>$B6 * IFERROR(VLOOKUP("LULUCF|NOx|Asthma symptoms cough", US_national_yearly!$D:$AM, 35, FALSE) / VLOOKUP("LULUCF|NOx|Asthma symptoms cough", US_national_yearly!$D:$AM, 10, FALSE), 1)</f>
        <v>3.1199855802438729E-4</v>
      </c>
      <c r="AB6" s="7">
        <f>$B6 * IFERROR(VLOOKUP("LULUCF|NOx|Asthma symptoms cough", US_national_yearly!$D:$AM, 36, FALSE) / VLOOKUP("LULUCF|NOx|Asthma symptoms cough", US_national_yearly!$D:$AM, 10, FALSE), 1)</f>
        <v>3.1341253438424958E-4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3.6012307612506573E-4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3.6504654734976659E-4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3.6997001857446739E-4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3.748934897991683E-4</v>
      </c>
      <c r="F7" s="7">
        <f>$B7 * IFERROR(VLOOKUP("LULUCF|NOx|Asthma symptoms shortness of breath", US_national_yearly!$D:$AM, 14, FALSE) / VLOOKUP("LULUCF|NOx|Asthma symptoms shortness of breath", US_national_yearly!$D:$AM, 10, FALSE), 1)</f>
        <v>3.7981696102386915E-4</v>
      </c>
      <c r="G7" s="7">
        <f>$B7 * IFERROR(VLOOKUP("LULUCF|NOx|Asthma symptoms shortness of breath", US_national_yearly!$D:$AM, 15, FALSE) / VLOOKUP("LULUCF|NOx|Asthma symptoms shortness of breath", US_national_yearly!$D:$AM, 10, FALSE), 1)</f>
        <v>3.8374766478475582E-4</v>
      </c>
      <c r="H7" s="7">
        <f>$B7 * IFERROR(VLOOKUP("LULUCF|NOx|Asthma symptoms shortness of breath", US_national_yearly!$D:$AM, 16, FALSE) / VLOOKUP("LULUCF|NOx|Asthma symptoms shortness of breath", US_national_yearly!$D:$AM, 10, FALSE), 1)</f>
        <v>3.8767836854564249E-4</v>
      </c>
      <c r="I7" s="7">
        <f>$B7 * IFERROR(VLOOKUP("LULUCF|NOx|Asthma symptoms shortness of breath", US_national_yearly!$D:$AM, 17, FALSE) / VLOOKUP("LULUCF|NOx|Asthma symptoms shortness of breath", US_national_yearly!$D:$AM, 10, FALSE), 1)</f>
        <v>3.8903126058104044E-4</v>
      </c>
      <c r="J7" s="7">
        <f>$B7 * IFERROR(VLOOKUP("LULUCF|NOx|Asthma symptoms shortness of breath", US_national_yearly!$D:$AM, 18, FALSE) / VLOOKUP("LULUCF|NOx|Asthma symptoms shortness of breath", US_national_yearly!$D:$AM, 10, FALSE), 1)</f>
        <v>3.9038415261643833E-4</v>
      </c>
      <c r="K7" s="7">
        <f>$B7 * IFERROR(VLOOKUP("LULUCF|NOx|Asthma symptoms shortness of breath", US_national_yearly!$D:$AM, 19, FALSE) / VLOOKUP("LULUCF|NOx|Asthma symptoms shortness of breath", US_national_yearly!$D:$AM, 10, FALSE), 1)</f>
        <v>3.9173704465183623E-4</v>
      </c>
      <c r="L7" s="7">
        <f>$B7 * IFERROR(VLOOKUP("LULUCF|NOx|Asthma symptoms shortness of breath", US_national_yearly!$D:$AM, 20, FALSE) / VLOOKUP("LULUCF|NOx|Asthma symptoms shortness of breath", US_national_yearly!$D:$AM, 10, FALSE), 1)</f>
        <v>3.9308993668723418E-4</v>
      </c>
      <c r="M7" s="7">
        <f>$B7 * IFERROR(VLOOKUP("LULUCF|NOx|Asthma symptoms shortness of breath", US_national_yearly!$D:$AM, 21, FALSE) / VLOOKUP("LULUCF|NOx|Asthma symptoms shortness of breath", US_national_yearly!$D:$AM, 10, FALSE), 1)</f>
        <v>3.9444282872263208E-4</v>
      </c>
      <c r="N7" s="7">
        <f>$B7 * IFERROR(VLOOKUP("LULUCF|NOx|Asthma symptoms shortness of breath", US_national_yearly!$D:$AM, 22, FALSE) / VLOOKUP("LULUCF|NOx|Asthma symptoms shortness of breath", US_national_yearly!$D:$AM, 10, FALSE), 1)</f>
        <v>3.9601160778916246E-4</v>
      </c>
      <c r="O7" s="7">
        <f>$B7 * IFERROR(VLOOKUP("LULUCF|NOx|Asthma symptoms shortness of breath", US_national_yearly!$D:$AM, 23, FALSE) / VLOOKUP("LULUCF|NOx|Asthma symptoms shortness of breath", US_national_yearly!$D:$AM, 10, FALSE), 1)</f>
        <v>3.975803868556928E-4</v>
      </c>
      <c r="P7" s="7">
        <f>$B7 * IFERROR(VLOOKUP("LULUCF|NOx|Asthma symptoms shortness of breath", US_national_yearly!$D:$AM, 24, FALSE) / VLOOKUP("LULUCF|NOx|Asthma symptoms shortness of breath", US_national_yearly!$D:$AM, 10, FALSE), 1)</f>
        <v>3.9914916592222313E-4</v>
      </c>
      <c r="Q7" s="7">
        <f>$B7 * IFERROR(VLOOKUP("LULUCF|NOx|Asthma symptoms shortness of breath", US_national_yearly!$D:$AM, 25, FALSE) / VLOOKUP("LULUCF|NOx|Asthma symptoms shortness of breath", US_national_yearly!$D:$AM, 10, FALSE), 1)</f>
        <v>4.0071794498875346E-4</v>
      </c>
      <c r="R7" s="7">
        <f>$B7 * IFERROR(VLOOKUP("LULUCF|NOx|Asthma symptoms shortness of breath", US_national_yearly!$D:$AM, 26, FALSE) / VLOOKUP("LULUCF|NOx|Asthma symptoms shortness of breath", US_national_yearly!$D:$AM, 10, FALSE), 1)</f>
        <v>4.0228672405528385E-4</v>
      </c>
      <c r="S7" s="7">
        <f>$B7 * IFERROR(VLOOKUP("LULUCF|NOx|Asthma symptoms shortness of breath", US_national_yearly!$D:$AM, 27, FALSE) / VLOOKUP("LULUCF|NOx|Asthma symptoms shortness of breath", US_national_yearly!$D:$AM, 10, FALSE), 1)</f>
        <v>4.0433604917434579E-4</v>
      </c>
      <c r="T7" s="7">
        <f>$B7 * IFERROR(VLOOKUP("LULUCF|NOx|Asthma symptoms shortness of breath", US_national_yearly!$D:$AM, 28, FALSE) / VLOOKUP("LULUCF|NOx|Asthma symptoms shortness of breath", US_national_yearly!$D:$AM, 10, FALSE), 1)</f>
        <v>4.0638537429340778E-4</v>
      </c>
      <c r="U7" s="7">
        <f>$B7 * IFERROR(VLOOKUP("LULUCF|NOx|Asthma symptoms shortness of breath", US_national_yearly!$D:$AM, 29, FALSE) / VLOOKUP("LULUCF|NOx|Asthma symptoms shortness of breath", US_national_yearly!$D:$AM, 10, FALSE), 1)</f>
        <v>4.0843469941246973E-4</v>
      </c>
      <c r="V7" s="7">
        <f>$B7 * IFERROR(VLOOKUP("LULUCF|NOx|Asthma symptoms shortness of breath", US_national_yearly!$D:$AM, 30, FALSE) / VLOOKUP("LULUCF|NOx|Asthma symptoms shortness of breath", US_national_yearly!$D:$AM, 10, FALSE), 1)</f>
        <v>4.1048402453153156E-4</v>
      </c>
      <c r="W7" s="7">
        <f>$B7 * IFERROR(VLOOKUP("LULUCF|NOx|Asthma symptoms shortness of breath", US_national_yearly!$D:$AM, 31, FALSE) / VLOOKUP("LULUCF|NOx|Asthma symptoms shortness of breath", US_national_yearly!$D:$AM, 10, FALSE), 1)</f>
        <v>4.125333496505935E-4</v>
      </c>
      <c r="X7" s="7">
        <f>$B7 * IFERROR(VLOOKUP("LULUCF|NOx|Asthma symptoms shortness of breath", US_national_yearly!$D:$AM, 32, FALSE) / VLOOKUP("LULUCF|NOx|Asthma symptoms shortness of breath", US_national_yearly!$D:$AM, 10, FALSE), 1)</f>
        <v>4.1443746714334953E-4</v>
      </c>
      <c r="Y7" s="7">
        <f>$B7 * IFERROR(VLOOKUP("LULUCF|NOx|Asthma symptoms shortness of breath", US_national_yearly!$D:$AM, 33, FALSE) / VLOOKUP("LULUCF|NOx|Asthma symptoms shortness of breath", US_national_yearly!$D:$AM, 10, FALSE), 1)</f>
        <v>4.1634158463610556E-4</v>
      </c>
      <c r="Z7" s="7">
        <f>$B7 * IFERROR(VLOOKUP("LULUCF|NOx|Asthma symptoms shortness of breath", US_national_yearly!$D:$AM, 34, FALSE) / VLOOKUP("LULUCF|NOx|Asthma symptoms shortness of breath", US_national_yearly!$D:$AM, 10, FALSE), 1)</f>
        <v>4.182457021288617E-4</v>
      </c>
      <c r="AA7" s="7">
        <f>$B7 * IFERROR(VLOOKUP("LULUCF|NOx|Asthma symptoms shortness of breath", US_national_yearly!$D:$AM, 35, FALSE) / VLOOKUP("LULUCF|NOx|Asthma symptoms shortness of breath", US_national_yearly!$D:$AM, 10, FALSE), 1)</f>
        <v>4.2014981962161773E-4</v>
      </c>
      <c r="AB7" s="7">
        <f>$B7 * IFERROR(VLOOKUP("LULUCF|NOx|Asthma symptoms shortness of breath", US_national_yearly!$D:$AM, 36, FALSE) / VLOOKUP("LULUCF|NOx|Asthma symptoms shortness of breath", US_national_yearly!$D:$AM, 10, FALSE), 1)</f>
        <v>4.2205393711437376E-4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5.5021164631871512E-4</v>
      </c>
      <c r="C8" s="7">
        <f>$B8 * IFERROR(VLOOKUP("LULUCF|NOx|Asthma symptoms wheeze", US_national_yearly!$D:$AM, 11, FALSE) / VLOOKUP("LULUCF|NOx|Asthma symptoms wheeze", US_national_yearly!$D:$AM, 10, FALSE), 1)</f>
        <v>5.5773393909469776E-4</v>
      </c>
      <c r="D8" s="7">
        <f>$B8 * IFERROR(VLOOKUP("LULUCF|NOx|Asthma symptoms wheeze", US_national_yearly!$D:$AM, 12, FALSE) / VLOOKUP("LULUCF|NOx|Asthma symptoms wheeze", US_national_yearly!$D:$AM, 10, FALSE), 1)</f>
        <v>5.6525623187068063E-4</v>
      </c>
      <c r="E8" s="7">
        <f>$B8 * IFERROR(VLOOKUP("LULUCF|NOx|Asthma symptoms wheeze", US_national_yearly!$D:$AM, 13, FALSE) / VLOOKUP("LULUCF|NOx|Asthma symptoms wheeze", US_national_yearly!$D:$AM, 10, FALSE), 1)</f>
        <v>5.7277852464666327E-4</v>
      </c>
      <c r="F8" s="7">
        <f>$B8 * IFERROR(VLOOKUP("LULUCF|NOx|Asthma symptoms wheeze", US_national_yearly!$D:$AM, 14, FALSE) / VLOOKUP("LULUCF|NOx|Asthma symptoms wheeze", US_national_yearly!$D:$AM, 10, FALSE), 1)</f>
        <v>5.8030081742264591E-4</v>
      </c>
      <c r="G8" s="7">
        <f>$B8 * IFERROR(VLOOKUP("LULUCF|NOx|Asthma symptoms wheeze", US_national_yearly!$D:$AM, 15, FALSE) / VLOOKUP("LULUCF|NOx|Asthma symptoms wheeze", US_national_yearly!$D:$AM, 10, FALSE), 1)</f>
        <v>5.8630631703934322E-4</v>
      </c>
      <c r="H8" s="7">
        <f>$B8 * IFERROR(VLOOKUP("LULUCF|NOx|Asthma symptoms wheeze", US_national_yearly!$D:$AM, 16, FALSE) / VLOOKUP("LULUCF|NOx|Asthma symptoms wheeze", US_national_yearly!$D:$AM, 10, FALSE), 1)</f>
        <v>5.9231181665604052E-4</v>
      </c>
      <c r="I8" s="7">
        <f>$B8 * IFERROR(VLOOKUP("LULUCF|NOx|Asthma symptoms wheeze", US_national_yearly!$D:$AM, 17, FALSE) / VLOOKUP("LULUCF|NOx|Asthma symptoms wheeze", US_national_yearly!$D:$AM, 10, FALSE), 1)</f>
        <v>5.9437882377861271E-4</v>
      </c>
      <c r="J8" s="7">
        <f>$B8 * IFERROR(VLOOKUP("LULUCF|NOx|Asthma symptoms wheeze", US_national_yearly!$D:$AM, 18, FALSE) / VLOOKUP("LULUCF|NOx|Asthma symptoms wheeze", US_national_yearly!$D:$AM, 10, FALSE), 1)</f>
        <v>5.9644583090118512E-4</v>
      </c>
      <c r="K8" s="7">
        <f>$B8 * IFERROR(VLOOKUP("LULUCF|NOx|Asthma symptoms wheeze", US_national_yearly!$D:$AM, 19, FALSE) / VLOOKUP("LULUCF|NOx|Asthma symptoms wheeze", US_national_yearly!$D:$AM, 10, FALSE), 1)</f>
        <v>5.985128380237572E-4</v>
      </c>
      <c r="L8" s="7">
        <f>$B8 * IFERROR(VLOOKUP("LULUCF|NOx|Asthma symptoms wheeze", US_national_yearly!$D:$AM, 20, FALSE) / VLOOKUP("LULUCF|NOx|Asthma symptoms wheeze", US_national_yearly!$D:$AM, 10, FALSE), 1)</f>
        <v>6.0057984514632961E-4</v>
      </c>
      <c r="M8" s="7">
        <f>$B8 * IFERROR(VLOOKUP("LULUCF|NOx|Asthma symptoms wheeze", US_national_yearly!$D:$AM, 21, FALSE) / VLOOKUP("LULUCF|NOx|Asthma symptoms wheeze", US_national_yearly!$D:$AM, 10, FALSE), 1)</f>
        <v>6.026468522689018E-4</v>
      </c>
      <c r="N8" s="7">
        <f>$B8 * IFERROR(VLOOKUP("LULUCF|NOx|Asthma symptoms wheeze", US_national_yearly!$D:$AM, 22, FALSE) / VLOOKUP("LULUCF|NOx|Asthma symptoms wheeze", US_national_yearly!$D:$AM, 10, FALSE), 1)</f>
        <v>6.0504370095285738E-4</v>
      </c>
      <c r="O8" s="7">
        <f>$B8 * IFERROR(VLOOKUP("LULUCF|NOx|Asthma symptoms wheeze", US_national_yearly!$D:$AM, 23, FALSE) / VLOOKUP("LULUCF|NOx|Asthma symptoms wheeze", US_national_yearly!$D:$AM, 10, FALSE), 1)</f>
        <v>6.0744054963681306E-4</v>
      </c>
      <c r="P8" s="7">
        <f>$B8 * IFERROR(VLOOKUP("LULUCF|NOx|Asthma symptoms wheeze", US_national_yearly!$D:$AM, 24, FALSE) / VLOOKUP("LULUCF|NOx|Asthma symptoms wheeze", US_national_yearly!$D:$AM, 10, FALSE), 1)</f>
        <v>6.0983739832076863E-4</v>
      </c>
      <c r="Q8" s="7">
        <f>$B8 * IFERROR(VLOOKUP("LULUCF|NOx|Asthma symptoms wheeze", US_national_yearly!$D:$AM, 25, FALSE) / VLOOKUP("LULUCF|NOx|Asthma symptoms wheeze", US_national_yearly!$D:$AM, 10, FALSE), 1)</f>
        <v>6.122342470047242E-4</v>
      </c>
      <c r="R8" s="7">
        <f>$B8 * IFERROR(VLOOKUP("LULUCF|NOx|Asthma symptoms wheeze", US_national_yearly!$D:$AM, 26, FALSE) / VLOOKUP("LULUCF|NOx|Asthma symptoms wheeze", US_national_yearly!$D:$AM, 10, FALSE), 1)</f>
        <v>6.1463109568867978E-4</v>
      </c>
      <c r="S8" s="7">
        <f>$B8 * IFERROR(VLOOKUP("LULUCF|NOx|Asthma symptoms wheeze", US_national_yearly!$D:$AM, 27, FALSE) / VLOOKUP("LULUCF|NOx|Asthma symptoms wheeze", US_national_yearly!$D:$AM, 10, FALSE), 1)</f>
        <v>6.1776214345872016E-4</v>
      </c>
      <c r="T8" s="7">
        <f>$B8 * IFERROR(VLOOKUP("LULUCF|NOx|Asthma symptoms wheeze", US_national_yearly!$D:$AM, 28, FALSE) / VLOOKUP("LULUCF|NOx|Asthma symptoms wheeze", US_national_yearly!$D:$AM, 10, FALSE), 1)</f>
        <v>6.2089319122876044E-4</v>
      </c>
      <c r="U8" s="7">
        <f>$B8 * IFERROR(VLOOKUP("LULUCF|NOx|Asthma symptoms wheeze", US_national_yearly!$D:$AM, 29, FALSE) / VLOOKUP("LULUCF|NOx|Asthma symptoms wheeze", US_national_yearly!$D:$AM, 10, FALSE), 1)</f>
        <v>6.2402423899880083E-4</v>
      </c>
      <c r="V8" s="7">
        <f>$B8 * IFERROR(VLOOKUP("LULUCF|NOx|Asthma symptoms wheeze", US_national_yearly!$D:$AM, 30, FALSE) / VLOOKUP("LULUCF|NOx|Asthma symptoms wheeze", US_national_yearly!$D:$AM, 10, FALSE), 1)</f>
        <v>6.2715528676884132E-4</v>
      </c>
      <c r="W8" s="7">
        <f>$B8 * IFERROR(VLOOKUP("LULUCF|NOx|Asthma symptoms wheeze", US_national_yearly!$D:$AM, 31, FALSE) / VLOOKUP("LULUCF|NOx|Asthma symptoms wheeze", US_national_yearly!$D:$AM, 10, FALSE), 1)</f>
        <v>6.3028633453888149E-4</v>
      </c>
      <c r="X8" s="7">
        <f>$B8 * IFERROR(VLOOKUP("LULUCF|NOx|Asthma symptoms wheeze", US_national_yearly!$D:$AM, 32, FALSE) / VLOOKUP("LULUCF|NOx|Asthma symptoms wheeze", US_national_yearly!$D:$AM, 10, FALSE), 1)</f>
        <v>6.3319552780257435E-4</v>
      </c>
      <c r="Y8" s="7">
        <f>$B8 * IFERROR(VLOOKUP("LULUCF|NOx|Asthma symptoms wheeze", US_national_yearly!$D:$AM, 33, FALSE) / VLOOKUP("LULUCF|NOx|Asthma symptoms wheeze", US_national_yearly!$D:$AM, 10, FALSE), 1)</f>
        <v>6.3610472106626699E-4</v>
      </c>
      <c r="Z8" s="7">
        <f>$B8 * IFERROR(VLOOKUP("LULUCF|NOx|Asthma symptoms wheeze", US_national_yearly!$D:$AM, 34, FALSE) / VLOOKUP("LULUCF|NOx|Asthma symptoms wheeze", US_national_yearly!$D:$AM, 10, FALSE), 1)</f>
        <v>6.3901391432995974E-4</v>
      </c>
      <c r="AA8" s="7">
        <f>$B8 * IFERROR(VLOOKUP("LULUCF|NOx|Asthma symptoms wheeze", US_national_yearly!$D:$AM, 35, FALSE) / VLOOKUP("LULUCF|NOx|Asthma symptoms wheeze", US_national_yearly!$D:$AM, 10, FALSE), 1)</f>
        <v>6.4192310759365238E-4</v>
      </c>
      <c r="AB8" s="7">
        <f>$B8 * IFERROR(VLOOKUP("LULUCF|NOx|Asthma symptoms wheeze", US_national_yearly!$D:$AM, 36, FALSE) / VLOOKUP("LULUCF|NOx|Asthma symptoms wheeze", US_national_yearly!$D:$AM, 10, FALSE), 1)</f>
        <v>6.4483230085734514E-4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1.0932702592209539E-5</v>
      </c>
      <c r="C12" s="7">
        <f>$B12 * IFERROR(VLOOKUP("LULUCF|NOx|Respiratory hospital admissions", US_national_yearly!$D:$AM, 11, FALSE) / VLOOKUP("LULUCF|NOx|Respiratory hospital admissions", US_national_yearly!$D:$AM, 10, FALSE), 1)</f>
        <v>1.1205415192665369E-5</v>
      </c>
      <c r="D12" s="7">
        <f>$B12 * IFERROR(VLOOKUP("LULUCF|NOx|Respiratory hospital admissions", US_national_yearly!$D:$AM, 12, FALSE) / VLOOKUP("LULUCF|NOx|Respiratory hospital admissions", US_national_yearly!$D:$AM, 10, FALSE), 1)</f>
        <v>1.1478127793121201E-5</v>
      </c>
      <c r="E12" s="7">
        <f>$B12 * IFERROR(VLOOKUP("LULUCF|NOx|Respiratory hospital admissions", US_national_yearly!$D:$AM, 13, FALSE) / VLOOKUP("LULUCF|NOx|Respiratory hospital admissions", US_national_yearly!$D:$AM, 10, FALSE), 1)</f>
        <v>1.1750840393577032E-5</v>
      </c>
      <c r="F12" s="7">
        <f>$B12 * IFERROR(VLOOKUP("LULUCF|NOx|Respiratory hospital admissions", US_national_yearly!$D:$AM, 14, FALSE) / VLOOKUP("LULUCF|NOx|Respiratory hospital admissions", US_national_yearly!$D:$AM, 10, FALSE), 1)</f>
        <v>1.2023552994032864E-5</v>
      </c>
      <c r="G12" s="7">
        <f>$B12 * IFERROR(VLOOKUP("LULUCF|NOx|Respiratory hospital admissions", US_national_yearly!$D:$AM, 15, FALSE) / VLOOKUP("LULUCF|NOx|Respiratory hospital admissions", US_national_yearly!$D:$AM, 10, FALSE), 1)</f>
        <v>1.228427552210067E-5</v>
      </c>
      <c r="H12" s="7">
        <f>$B12 * IFERROR(VLOOKUP("LULUCF|NOx|Respiratory hospital admissions", US_national_yearly!$D:$AM, 16, FALSE) / VLOOKUP("LULUCF|NOx|Respiratory hospital admissions", US_national_yearly!$D:$AM, 10, FALSE), 1)</f>
        <v>1.2544998050168475E-5</v>
      </c>
      <c r="I12" s="7">
        <f>$B12 * IFERROR(VLOOKUP("LULUCF|NOx|Respiratory hospital admissions", US_national_yearly!$D:$AM, 17, FALSE) / VLOOKUP("LULUCF|NOx|Respiratory hospital admissions", US_national_yearly!$D:$AM, 10, FALSE), 1)</f>
        <v>1.276635683641079E-5</v>
      </c>
      <c r="J12" s="7">
        <f>$B12 * IFERROR(VLOOKUP("LULUCF|NOx|Respiratory hospital admissions", US_national_yearly!$D:$AM, 18, FALSE) / VLOOKUP("LULUCF|NOx|Respiratory hospital admissions", US_national_yearly!$D:$AM, 10, FALSE), 1)</f>
        <v>1.2987715622653103E-5</v>
      </c>
      <c r="K12" s="7">
        <f>$B12 * IFERROR(VLOOKUP("LULUCF|NOx|Respiratory hospital admissions", US_national_yearly!$D:$AM, 19, FALSE) / VLOOKUP("LULUCF|NOx|Respiratory hospital admissions", US_national_yearly!$D:$AM, 10, FALSE), 1)</f>
        <v>1.3209074408895419E-5</v>
      </c>
      <c r="L12" s="7">
        <f>$B12 * IFERROR(VLOOKUP("LULUCF|NOx|Respiratory hospital admissions", US_national_yearly!$D:$AM, 20, FALSE) / VLOOKUP("LULUCF|NOx|Respiratory hospital admissions", US_national_yearly!$D:$AM, 10, FALSE), 1)</f>
        <v>1.3430433195137734E-5</v>
      </c>
      <c r="M12" s="7">
        <f>$B12 * IFERROR(VLOOKUP("LULUCF|NOx|Respiratory hospital admissions", US_national_yearly!$D:$AM, 21, FALSE) / VLOOKUP("LULUCF|NOx|Respiratory hospital admissions", US_national_yearly!$D:$AM, 10, FALSE), 1)</f>
        <v>1.3651791981380051E-5</v>
      </c>
      <c r="N12" s="7">
        <f>$B12 * IFERROR(VLOOKUP("LULUCF|NOx|Respiratory hospital admissions", US_national_yearly!$D:$AM, 22, FALSE) / VLOOKUP("LULUCF|NOx|Respiratory hospital admissions", US_national_yearly!$D:$AM, 10, FALSE), 1)</f>
        <v>1.3799774315450442E-5</v>
      </c>
      <c r="O12" s="7">
        <f>$B12 * IFERROR(VLOOKUP("LULUCF|NOx|Respiratory hospital admissions", US_national_yearly!$D:$AM, 23, FALSE) / VLOOKUP("LULUCF|NOx|Respiratory hospital admissions", US_national_yearly!$D:$AM, 10, FALSE), 1)</f>
        <v>1.3947756649520839E-5</v>
      </c>
      <c r="P12" s="7">
        <f>$B12 * IFERROR(VLOOKUP("LULUCF|NOx|Respiratory hospital admissions", US_national_yearly!$D:$AM, 24, FALSE) / VLOOKUP("LULUCF|NOx|Respiratory hospital admissions", US_national_yearly!$D:$AM, 10, FALSE), 1)</f>
        <v>1.4095738983591233E-5</v>
      </c>
      <c r="Q12" s="7">
        <f>$B12 * IFERROR(VLOOKUP("LULUCF|NOx|Respiratory hospital admissions", US_national_yearly!$D:$AM, 25, FALSE) / VLOOKUP("LULUCF|NOx|Respiratory hospital admissions", US_national_yearly!$D:$AM, 10, FALSE), 1)</f>
        <v>1.4243721317661631E-5</v>
      </c>
      <c r="R12" s="7">
        <f>$B12 * IFERROR(VLOOKUP("LULUCF|NOx|Respiratory hospital admissions", US_national_yearly!$D:$AM, 26, FALSE) / VLOOKUP("LULUCF|NOx|Respiratory hospital admissions", US_national_yearly!$D:$AM, 10, FALSE), 1)</f>
        <v>1.4391703651732025E-5</v>
      </c>
      <c r="S12" s="7">
        <f>$B12 * IFERROR(VLOOKUP("LULUCF|NOx|Respiratory hospital admissions", US_national_yearly!$D:$AM, 27, FALSE) / VLOOKUP("LULUCF|NOx|Respiratory hospital admissions", US_national_yearly!$D:$AM, 10, FALSE), 1)</f>
        <v>1.4470988576470164E-5</v>
      </c>
      <c r="T12" s="7">
        <f>$B12 * IFERROR(VLOOKUP("LULUCF|NOx|Respiratory hospital admissions", US_national_yearly!$D:$AM, 28, FALSE) / VLOOKUP("LULUCF|NOx|Respiratory hospital admissions", US_national_yearly!$D:$AM, 10, FALSE), 1)</f>
        <v>1.4550273501208304E-5</v>
      </c>
      <c r="U12" s="7">
        <f>$B12 * IFERROR(VLOOKUP("LULUCF|NOx|Respiratory hospital admissions", US_national_yearly!$D:$AM, 29, FALSE) / VLOOKUP("LULUCF|NOx|Respiratory hospital admissions", US_national_yearly!$D:$AM, 10, FALSE), 1)</f>
        <v>1.4629558425946443E-5</v>
      </c>
      <c r="V12" s="7">
        <f>$B12 * IFERROR(VLOOKUP("LULUCF|NOx|Respiratory hospital admissions", US_national_yearly!$D:$AM, 30, FALSE) / VLOOKUP("LULUCF|NOx|Respiratory hospital admissions", US_national_yearly!$D:$AM, 10, FALSE), 1)</f>
        <v>1.4708843350684579E-5</v>
      </c>
      <c r="W12" s="7">
        <f>$B12 * IFERROR(VLOOKUP("LULUCF|NOx|Respiratory hospital admissions", US_national_yearly!$D:$AM, 31, FALSE) / VLOOKUP("LULUCF|NOx|Respiratory hospital admissions", US_national_yearly!$D:$AM, 10, FALSE), 1)</f>
        <v>1.4788128275422722E-5</v>
      </c>
      <c r="X12" s="7">
        <f>$B12 * IFERROR(VLOOKUP("LULUCF|NOx|Respiratory hospital admissions", US_national_yearly!$D:$AM, 32, FALSE) / VLOOKUP("LULUCF|NOx|Respiratory hospital admissions", US_national_yearly!$D:$AM, 10, FALSE), 1)</f>
        <v>1.4842309221062506E-5</v>
      </c>
      <c r="Y12" s="7">
        <f>$B12 * IFERROR(VLOOKUP("LULUCF|NOx|Respiratory hospital admissions", US_national_yearly!$D:$AM, 33, FALSE) / VLOOKUP("LULUCF|NOx|Respiratory hospital admissions", US_national_yearly!$D:$AM, 10, FALSE), 1)</f>
        <v>1.4896490166702293E-5</v>
      </c>
      <c r="Z12" s="7">
        <f>$B12 * IFERROR(VLOOKUP("LULUCF|NOx|Respiratory hospital admissions", US_national_yearly!$D:$AM, 34, FALSE) / VLOOKUP("LULUCF|NOx|Respiratory hospital admissions", US_national_yearly!$D:$AM, 10, FALSE), 1)</f>
        <v>1.4950671112342078E-5</v>
      </c>
      <c r="AA12" s="7">
        <f>$B12 * IFERROR(VLOOKUP("LULUCF|NOx|Respiratory hospital admissions", US_national_yearly!$D:$AM, 35, FALSE) / VLOOKUP("LULUCF|NOx|Respiratory hospital admissions", US_national_yearly!$D:$AM, 10, FALSE), 1)</f>
        <v>1.5004852057981865E-5</v>
      </c>
      <c r="AB12" s="7">
        <f>$B12 * IFERROR(VLOOKUP("LULUCF|NOx|Respiratory hospital admissions", US_national_yearly!$D:$AM, 36, FALSE) / VLOOKUP("LULUCF|NOx|Respiratory hospital admissions", US_national_yearly!$D:$AM, 10, FALSE), 1)</f>
        <v>1.5059033003621648E-5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5.4092777175705427E-5</v>
      </c>
      <c r="C13" s="7">
        <f>$B13 * IFERROR(VLOOKUP("LULUCF|NOx|Non-fatal heart attacks", US_national_yearly!$D:$AM, 11, FALSE) / VLOOKUP("LULUCF|NOx|Non-fatal heart attacks", US_national_yearly!$D:$AM, 10, FALSE), 1)</f>
        <v>5.563924201638141E-5</v>
      </c>
      <c r="D13" s="7">
        <f>$B13 * IFERROR(VLOOKUP("LULUCF|NOx|Non-fatal heart attacks", US_national_yearly!$D:$AM, 12, FALSE) / VLOOKUP("LULUCF|NOx|Non-fatal heart attacks", US_national_yearly!$D:$AM, 10, FALSE), 1)</f>
        <v>5.7185706857057399E-5</v>
      </c>
      <c r="E13" s="7">
        <f>$B13 * IFERROR(VLOOKUP("LULUCF|NOx|Non-fatal heart attacks", US_national_yearly!$D:$AM, 13, FALSE) / VLOOKUP("LULUCF|NOx|Non-fatal heart attacks", US_national_yearly!$D:$AM, 10, FALSE), 1)</f>
        <v>5.8732171697733376E-5</v>
      </c>
      <c r="F13" s="7">
        <f>$B13 * IFERROR(VLOOKUP("LULUCF|NOx|Non-fatal heart attacks", US_national_yearly!$D:$AM, 14, FALSE) / VLOOKUP("LULUCF|NOx|Non-fatal heart attacks", US_national_yearly!$D:$AM, 10, FALSE), 1)</f>
        <v>6.0278636538409359E-5</v>
      </c>
      <c r="G13" s="7">
        <f>$B13 * IFERROR(VLOOKUP("LULUCF|NOx|Non-fatal heart attacks", US_national_yearly!$D:$AM, 15, FALSE) / VLOOKUP("LULUCF|NOx|Non-fatal heart attacks", US_national_yearly!$D:$AM, 10, FALSE), 1)</f>
        <v>6.1723804717930331E-5</v>
      </c>
      <c r="H13" s="7">
        <f>$B13 * IFERROR(VLOOKUP("LULUCF|NOx|Non-fatal heart attacks", US_national_yearly!$D:$AM, 16, FALSE) / VLOOKUP("LULUCF|NOx|Non-fatal heart attacks", US_national_yearly!$D:$AM, 10, FALSE), 1)</f>
        <v>6.3168972897451297E-5</v>
      </c>
      <c r="I13" s="7">
        <f>$B13 * IFERROR(VLOOKUP("LULUCF|NOx|Non-fatal heart attacks", US_national_yearly!$D:$AM, 17, FALSE) / VLOOKUP("LULUCF|NOx|Non-fatal heart attacks", US_national_yearly!$D:$AM, 10, FALSE), 1)</f>
        <v>6.4308322808507282E-5</v>
      </c>
      <c r="J13" s="7">
        <f>$B13 * IFERROR(VLOOKUP("LULUCF|NOx|Non-fatal heart attacks", US_national_yearly!$D:$AM, 18, FALSE) / VLOOKUP("LULUCF|NOx|Non-fatal heart attacks", US_national_yearly!$D:$AM, 10, FALSE), 1)</f>
        <v>6.5447672719563281E-5</v>
      </c>
      <c r="K13" s="7">
        <f>$B13 * IFERROR(VLOOKUP("LULUCF|NOx|Non-fatal heart attacks", US_national_yearly!$D:$AM, 19, FALSE) / VLOOKUP("LULUCF|NOx|Non-fatal heart attacks", US_national_yearly!$D:$AM, 10, FALSE), 1)</f>
        <v>6.6587022630619226E-5</v>
      </c>
      <c r="L13" s="7">
        <f>$B13 * IFERROR(VLOOKUP("LULUCF|NOx|Non-fatal heart attacks", US_national_yearly!$D:$AM, 20, FALSE) / VLOOKUP("LULUCF|NOx|Non-fatal heart attacks", US_national_yearly!$D:$AM, 10, FALSE), 1)</f>
        <v>6.7726372541675265E-5</v>
      </c>
      <c r="M13" s="7">
        <f>$B13 * IFERROR(VLOOKUP("LULUCF|NOx|Non-fatal heart attacks", US_national_yearly!$D:$AM, 21, FALSE) / VLOOKUP("LULUCF|NOx|Non-fatal heart attacks", US_national_yearly!$D:$AM, 10, FALSE), 1)</f>
        <v>6.8865722452731237E-5</v>
      </c>
      <c r="N13" s="7">
        <f>$B13 * IFERROR(VLOOKUP("LULUCF|NOx|Non-fatal heart attacks", US_national_yearly!$D:$AM, 22, FALSE) / VLOOKUP("LULUCF|NOx|Non-fatal heart attacks", US_national_yearly!$D:$AM, 10, FALSE), 1)</f>
        <v>6.9551189911806169E-5</v>
      </c>
      <c r="O13" s="7">
        <f>$B13 * IFERROR(VLOOKUP("LULUCF|NOx|Non-fatal heart attacks", US_national_yearly!$D:$AM, 23, FALSE) / VLOOKUP("LULUCF|NOx|Non-fatal heart attacks", US_national_yearly!$D:$AM, 10, FALSE), 1)</f>
        <v>7.0236657370881101E-5</v>
      </c>
      <c r="P13" s="7">
        <f>$B13 * IFERROR(VLOOKUP("LULUCF|NOx|Non-fatal heart attacks", US_national_yearly!$D:$AM, 24, FALSE) / VLOOKUP("LULUCF|NOx|Non-fatal heart attacks", US_national_yearly!$D:$AM, 10, FALSE), 1)</f>
        <v>7.092212482995602E-5</v>
      </c>
      <c r="Q13" s="7">
        <f>$B13 * IFERROR(VLOOKUP("LULUCF|NOx|Non-fatal heart attacks", US_national_yearly!$D:$AM, 25, FALSE) / VLOOKUP("LULUCF|NOx|Non-fatal heart attacks", US_national_yearly!$D:$AM, 10, FALSE), 1)</f>
        <v>7.1607592289030966E-5</v>
      </c>
      <c r="R13" s="7">
        <f>$B13 * IFERROR(VLOOKUP("LULUCF|NOx|Non-fatal heart attacks", US_national_yearly!$D:$AM, 26, FALSE) / VLOOKUP("LULUCF|NOx|Non-fatal heart attacks", US_national_yearly!$D:$AM, 10, FALSE), 1)</f>
        <v>7.2293059748105898E-5</v>
      </c>
      <c r="S13" s="7">
        <f>$B13 * IFERROR(VLOOKUP("LULUCF|NOx|Non-fatal heart attacks", US_national_yearly!$D:$AM, 27, FALSE) / VLOOKUP("LULUCF|NOx|Non-fatal heart attacks", US_national_yearly!$D:$AM, 10, FALSE), 1)</f>
        <v>7.2603992528490232E-5</v>
      </c>
      <c r="T13" s="7">
        <f>$B13 * IFERROR(VLOOKUP("LULUCF|NOx|Non-fatal heart attacks", US_national_yearly!$D:$AM, 28, FALSE) / VLOOKUP("LULUCF|NOx|Non-fatal heart attacks", US_national_yearly!$D:$AM, 10, FALSE), 1)</f>
        <v>7.291492530887458E-5</v>
      </c>
      <c r="U13" s="7">
        <f>$B13 * IFERROR(VLOOKUP("LULUCF|NOx|Non-fatal heart attacks", US_national_yearly!$D:$AM, 29, FALSE) / VLOOKUP("LULUCF|NOx|Non-fatal heart attacks", US_national_yearly!$D:$AM, 10, FALSE), 1)</f>
        <v>7.3225858089258914E-5</v>
      </c>
      <c r="V13" s="7">
        <f>$B13 * IFERROR(VLOOKUP("LULUCF|NOx|Non-fatal heart attacks", US_national_yearly!$D:$AM, 30, FALSE) / VLOOKUP("LULUCF|NOx|Non-fatal heart attacks", US_national_yearly!$D:$AM, 10, FALSE), 1)</f>
        <v>7.3536790869643248E-5</v>
      </c>
      <c r="W13" s="7">
        <f>$B13 * IFERROR(VLOOKUP("LULUCF|NOx|Non-fatal heart attacks", US_national_yearly!$D:$AM, 31, FALSE) / VLOOKUP("LULUCF|NOx|Non-fatal heart attacks", US_national_yearly!$D:$AM, 10, FALSE), 1)</f>
        <v>7.3847723650027596E-5</v>
      </c>
      <c r="X13" s="7">
        <f>$B13 * IFERROR(VLOOKUP("LULUCF|NOx|Non-fatal heart attacks", US_national_yearly!$D:$AM, 32, FALSE) / VLOOKUP("LULUCF|NOx|Non-fatal heart attacks", US_national_yearly!$D:$AM, 10, FALSE), 1)</f>
        <v>7.4055505294606892E-5</v>
      </c>
      <c r="Y13" s="7">
        <f>$B13 * IFERROR(VLOOKUP("LULUCF|NOx|Non-fatal heart attacks", US_national_yearly!$D:$AM, 33, FALSE) / VLOOKUP("LULUCF|NOx|Non-fatal heart attacks", US_national_yearly!$D:$AM, 10, FALSE), 1)</f>
        <v>7.4263286939186215E-5</v>
      </c>
      <c r="Z13" s="7">
        <f>$B13 * IFERROR(VLOOKUP("LULUCF|NOx|Non-fatal heart attacks", US_national_yearly!$D:$AM, 34, FALSE) / VLOOKUP("LULUCF|NOx|Non-fatal heart attacks", US_national_yearly!$D:$AM, 10, FALSE), 1)</f>
        <v>7.447106858376551E-5</v>
      </c>
      <c r="AA13" s="7">
        <f>$B13 * IFERROR(VLOOKUP("LULUCF|NOx|Non-fatal heart attacks", US_national_yearly!$D:$AM, 35, FALSE) / VLOOKUP("LULUCF|NOx|Non-fatal heart attacks", US_national_yearly!$D:$AM, 10, FALSE), 1)</f>
        <v>7.4678850228344806E-5</v>
      </c>
      <c r="AB13" s="7">
        <f>$B13 * IFERROR(VLOOKUP("LULUCF|NOx|Non-fatal heart attacks", US_national_yearly!$D:$AM, 36, FALSE) / VLOOKUP("LULUCF|NOx|Non-fatal heart attacks", US_national_yearly!$D:$AM, 10, FALSE), 1)</f>
        <v>7.4886631872924129E-5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3.1105096899363013E-2</v>
      </c>
      <c r="C14" s="7">
        <f>$B14 * IFERROR(VLOOKUP("LULUCF|NOx|Minor restricted activity days", US_national_yearly!$D:$AM, 11, FALSE) / VLOOKUP("LULUCF|NOx|Minor restricted activity days", US_national_yearly!$D:$AM, 10, FALSE), 1)</f>
        <v>3.1152786232924248E-2</v>
      </c>
      <c r="D14" s="7">
        <f>$B14 * IFERROR(VLOOKUP("LULUCF|NOx|Minor restricted activity days", US_national_yearly!$D:$AM, 12, FALSE) / VLOOKUP("LULUCF|NOx|Minor restricted activity days", US_national_yearly!$D:$AM, 10, FALSE), 1)</f>
        <v>3.1200475566485485E-2</v>
      </c>
      <c r="E14" s="7">
        <f>$B14 * IFERROR(VLOOKUP("LULUCF|NOx|Minor restricted activity days", US_national_yearly!$D:$AM, 13, FALSE) / VLOOKUP("LULUCF|NOx|Minor restricted activity days", US_national_yearly!$D:$AM, 10, FALSE), 1)</f>
        <v>3.1248164900046727E-2</v>
      </c>
      <c r="F14" s="7">
        <f>$B14 * IFERROR(VLOOKUP("LULUCF|NOx|Minor restricted activity days", US_national_yearly!$D:$AM, 14, FALSE) / VLOOKUP("LULUCF|NOx|Minor restricted activity days", US_national_yearly!$D:$AM, 10, FALSE), 1)</f>
        <v>3.1295854233607957E-2</v>
      </c>
      <c r="G14" s="7">
        <f>$B14 * IFERROR(VLOOKUP("LULUCF|NOx|Minor restricted activity days", US_national_yearly!$D:$AM, 15, FALSE) / VLOOKUP("LULUCF|NOx|Minor restricted activity days", US_national_yearly!$D:$AM, 10, FALSE), 1)</f>
        <v>3.138196981898278E-2</v>
      </c>
      <c r="H14" s="7">
        <f>$B14 * IFERROR(VLOOKUP("LULUCF|NOx|Minor restricted activity days", US_national_yearly!$D:$AM, 16, FALSE) / VLOOKUP("LULUCF|NOx|Minor restricted activity days", US_national_yearly!$D:$AM, 10, FALSE), 1)</f>
        <v>3.1468085404357603E-2</v>
      </c>
      <c r="I14" s="7">
        <f>$B14 * IFERROR(VLOOKUP("LULUCF|NOx|Minor restricted activity days", US_national_yearly!$D:$AM, 17, FALSE) / VLOOKUP("LULUCF|NOx|Minor restricted activity days", US_national_yearly!$D:$AM, 10, FALSE), 1)</f>
        <v>3.1636524083988142E-2</v>
      </c>
      <c r="J14" s="7">
        <f>$B14 * IFERROR(VLOOKUP("LULUCF|NOx|Minor restricted activity days", US_national_yearly!$D:$AM, 18, FALSE) / VLOOKUP("LULUCF|NOx|Minor restricted activity days", US_national_yearly!$D:$AM, 10, FALSE), 1)</f>
        <v>3.1804962763618667E-2</v>
      </c>
      <c r="K14" s="7">
        <f>$B14 * IFERROR(VLOOKUP("LULUCF|NOx|Minor restricted activity days", US_national_yearly!$D:$AM, 19, FALSE) / VLOOKUP("LULUCF|NOx|Minor restricted activity days", US_national_yearly!$D:$AM, 10, FALSE), 1)</f>
        <v>3.1973401443249207E-2</v>
      </c>
      <c r="L14" s="7">
        <f>$B14 * IFERROR(VLOOKUP("LULUCF|NOx|Minor restricted activity days", US_national_yearly!$D:$AM, 20, FALSE) / VLOOKUP("LULUCF|NOx|Minor restricted activity days", US_national_yearly!$D:$AM, 10, FALSE), 1)</f>
        <v>3.2141840122879739E-2</v>
      </c>
      <c r="M14" s="7">
        <f>$B14 * IFERROR(VLOOKUP("LULUCF|NOx|Minor restricted activity days", US_national_yearly!$D:$AM, 21, FALSE) / VLOOKUP("LULUCF|NOx|Minor restricted activity days", US_national_yearly!$D:$AM, 10, FALSE), 1)</f>
        <v>3.2310278802510278E-2</v>
      </c>
      <c r="N14" s="7">
        <f>$B14 * IFERROR(VLOOKUP("LULUCF|NOx|Minor restricted activity days", US_national_yearly!$D:$AM, 22, FALSE) / VLOOKUP("LULUCF|NOx|Minor restricted activity days", US_national_yearly!$D:$AM, 10, FALSE), 1)</f>
        <v>3.2551444799097828E-2</v>
      </c>
      <c r="O14" s="7">
        <f>$B14 * IFERROR(VLOOKUP("LULUCF|NOx|Minor restricted activity days", US_national_yearly!$D:$AM, 23, FALSE) / VLOOKUP("LULUCF|NOx|Minor restricted activity days", US_national_yearly!$D:$AM, 10, FALSE), 1)</f>
        <v>3.2792610795685385E-2</v>
      </c>
      <c r="P14" s="7">
        <f>$B14 * IFERROR(VLOOKUP("LULUCF|NOx|Minor restricted activity days", US_national_yearly!$D:$AM, 24, FALSE) / VLOOKUP("LULUCF|NOx|Minor restricted activity days", US_national_yearly!$D:$AM, 10, FALSE), 1)</f>
        <v>3.3033776792272936E-2</v>
      </c>
      <c r="Q14" s="7">
        <f>$B14 * IFERROR(VLOOKUP("LULUCF|NOx|Minor restricted activity days", US_national_yearly!$D:$AM, 25, FALSE) / VLOOKUP("LULUCF|NOx|Minor restricted activity days", US_national_yearly!$D:$AM, 10, FALSE), 1)</f>
        <v>3.3274942788860493E-2</v>
      </c>
      <c r="R14" s="7">
        <f>$B14 * IFERROR(VLOOKUP("LULUCF|NOx|Minor restricted activity days", US_national_yearly!$D:$AM, 26, FALSE) / VLOOKUP("LULUCF|NOx|Minor restricted activity days", US_national_yearly!$D:$AM, 10, FALSE), 1)</f>
        <v>3.3516108785448043E-2</v>
      </c>
      <c r="S14" s="7">
        <f>$B14 * IFERROR(VLOOKUP("LULUCF|NOx|Minor restricted activity days", US_national_yearly!$D:$AM, 27, FALSE) / VLOOKUP("LULUCF|NOx|Minor restricted activity days", US_national_yearly!$D:$AM, 10, FALSE), 1)</f>
        <v>3.3757224077400998E-2</v>
      </c>
      <c r="T14" s="7">
        <f>$B14 * IFERROR(VLOOKUP("LULUCF|NOx|Minor restricted activity days", US_national_yearly!$D:$AM, 28, FALSE) / VLOOKUP("LULUCF|NOx|Minor restricted activity days", US_national_yearly!$D:$AM, 10, FALSE), 1)</f>
        <v>3.3998339369353939E-2</v>
      </c>
      <c r="U14" s="7">
        <f>$B14 * IFERROR(VLOOKUP("LULUCF|NOx|Minor restricted activity days", US_national_yearly!$D:$AM, 29, FALSE) / VLOOKUP("LULUCF|NOx|Minor restricted activity days", US_national_yearly!$D:$AM, 10, FALSE), 1)</f>
        <v>3.4239454661306887E-2</v>
      </c>
      <c r="V14" s="7">
        <f>$B14 * IFERROR(VLOOKUP("LULUCF|NOx|Minor restricted activity days", US_national_yearly!$D:$AM, 30, FALSE) / VLOOKUP("LULUCF|NOx|Minor restricted activity days", US_national_yearly!$D:$AM, 10, FALSE), 1)</f>
        <v>3.4480569953259835E-2</v>
      </c>
      <c r="W14" s="7">
        <f>$B14 * IFERROR(VLOOKUP("LULUCF|NOx|Minor restricted activity days", US_national_yearly!$D:$AM, 31, FALSE) / VLOOKUP("LULUCF|NOx|Minor restricted activity days", US_national_yearly!$D:$AM, 10, FALSE), 1)</f>
        <v>3.4721685245212776E-2</v>
      </c>
      <c r="X14" s="7">
        <f>$B14 * IFERROR(VLOOKUP("LULUCF|NOx|Minor restricted activity days", US_national_yearly!$D:$AM, 32, FALSE) / VLOOKUP("LULUCF|NOx|Minor restricted activity days", US_national_yearly!$D:$AM, 10, FALSE), 1)</f>
        <v>3.4925539039071855E-2</v>
      </c>
      <c r="Y14" s="7">
        <f>$B14 * IFERROR(VLOOKUP("LULUCF|NOx|Minor restricted activity days", US_national_yearly!$D:$AM, 33, FALSE) / VLOOKUP("LULUCF|NOx|Minor restricted activity days", US_national_yearly!$D:$AM, 10, FALSE), 1)</f>
        <v>3.5129392832930928E-2</v>
      </c>
      <c r="Z14" s="7">
        <f>$B14 * IFERROR(VLOOKUP("LULUCF|NOx|Minor restricted activity days", US_national_yearly!$D:$AM, 34, FALSE) / VLOOKUP("LULUCF|NOx|Minor restricted activity days", US_national_yearly!$D:$AM, 10, FALSE), 1)</f>
        <v>3.5333246626790007E-2</v>
      </c>
      <c r="AA14" s="7">
        <f>$B14 * IFERROR(VLOOKUP("LULUCF|NOx|Minor restricted activity days", US_national_yearly!$D:$AM, 35, FALSE) / VLOOKUP("LULUCF|NOx|Minor restricted activity days", US_national_yearly!$D:$AM, 10, FALSE), 1)</f>
        <v>3.553710042064908E-2</v>
      </c>
      <c r="AB14" s="7">
        <f>$B14 * IFERROR(VLOOKUP("LULUCF|NOx|Minor restricted activity days", US_national_yearly!$D:$AM, 36, FALSE) / VLOOKUP("LULUCF|NOx|Minor restricted activity days", US_national_yearly!$D:$AM, 10, FALSE), 1)</f>
        <v>3.574095421450816E-2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5.2127840085063604E-3</v>
      </c>
      <c r="C15" s="7">
        <f>$B15 * IFERROR(VLOOKUP("LULUCF|NOx|Work loss days", US_national_yearly!$D:$AM, 11, FALSE) / VLOOKUP("LULUCF|NOx|Work loss days", US_national_yearly!$D:$AM, 10, FALSE), 1)</f>
        <v>5.2243795661032176E-3</v>
      </c>
      <c r="D15" s="7">
        <f>$B15 * IFERROR(VLOOKUP("LULUCF|NOx|Work loss days", US_national_yearly!$D:$AM, 12, FALSE) / VLOOKUP("LULUCF|NOx|Work loss days", US_national_yearly!$D:$AM, 10, FALSE), 1)</f>
        <v>5.2359751237000757E-3</v>
      </c>
      <c r="E15" s="7">
        <f>$B15 * IFERROR(VLOOKUP("LULUCF|NOx|Work loss days", US_national_yearly!$D:$AM, 13, FALSE) / VLOOKUP("LULUCF|NOx|Work loss days", US_national_yearly!$D:$AM, 10, FALSE), 1)</f>
        <v>5.2475706812969329E-3</v>
      </c>
      <c r="F15" s="7">
        <f>$B15 * IFERROR(VLOOKUP("LULUCF|NOx|Work loss days", US_national_yearly!$D:$AM, 14, FALSE) / VLOOKUP("LULUCF|NOx|Work loss days", US_national_yearly!$D:$AM, 10, FALSE), 1)</f>
        <v>5.259166238893791E-3</v>
      </c>
      <c r="G15" s="7">
        <f>$B15 * IFERROR(VLOOKUP("LULUCF|NOx|Work loss days", US_national_yearly!$D:$AM, 15, FALSE) / VLOOKUP("LULUCF|NOx|Work loss days", US_national_yearly!$D:$AM, 10, FALSE), 1)</f>
        <v>5.276095851900457E-3</v>
      </c>
      <c r="H15" s="7">
        <f>$B15 * IFERROR(VLOOKUP("LULUCF|NOx|Work loss days", US_national_yearly!$D:$AM, 16, FALSE) / VLOOKUP("LULUCF|NOx|Work loss days", US_national_yearly!$D:$AM, 10, FALSE), 1)</f>
        <v>5.2930254649071248E-3</v>
      </c>
      <c r="I15" s="7">
        <f>$B15 * IFERROR(VLOOKUP("LULUCF|NOx|Work loss days", US_national_yearly!$D:$AM, 17, FALSE) / VLOOKUP("LULUCF|NOx|Work loss days", US_national_yearly!$D:$AM, 10, FALSE), 1)</f>
        <v>5.3204505204569492E-3</v>
      </c>
      <c r="J15" s="7">
        <f>$B15 * IFERROR(VLOOKUP("LULUCF|NOx|Work loss days", US_national_yearly!$D:$AM, 18, FALSE) / VLOOKUP("LULUCF|NOx|Work loss days", US_national_yearly!$D:$AM, 10, FALSE), 1)</f>
        <v>5.3478755760067755E-3</v>
      </c>
      <c r="K15" s="7">
        <f>$B15 * IFERROR(VLOOKUP("LULUCF|NOx|Work loss days", US_national_yearly!$D:$AM, 19, FALSE) / VLOOKUP("LULUCF|NOx|Work loss days", US_national_yearly!$D:$AM, 10, FALSE), 1)</f>
        <v>5.3753006315566008E-3</v>
      </c>
      <c r="L15" s="7">
        <f>$B15 * IFERROR(VLOOKUP("LULUCF|NOx|Work loss days", US_national_yearly!$D:$AM, 20, FALSE) / VLOOKUP("LULUCF|NOx|Work loss days", US_national_yearly!$D:$AM, 10, FALSE), 1)</f>
        <v>5.4027256871064253E-3</v>
      </c>
      <c r="M15" s="7">
        <f>$B15 * IFERROR(VLOOKUP("LULUCF|NOx|Work loss days", US_national_yearly!$D:$AM, 21, FALSE) / VLOOKUP("LULUCF|NOx|Work loss days", US_national_yearly!$D:$AM, 10, FALSE), 1)</f>
        <v>5.4301507426562515E-3</v>
      </c>
      <c r="N15" s="7">
        <f>$B15 * IFERROR(VLOOKUP("LULUCF|NOx|Work loss days", US_national_yearly!$D:$AM, 22, FALSE) / VLOOKUP("LULUCF|NOx|Work loss days", US_national_yearly!$D:$AM, 10, FALSE), 1)</f>
        <v>5.4658427695779797E-3</v>
      </c>
      <c r="O15" s="7">
        <f>$B15 * IFERROR(VLOOKUP("LULUCF|NOx|Work loss days", US_national_yearly!$D:$AM, 23, FALSE) / VLOOKUP("LULUCF|NOx|Work loss days", US_national_yearly!$D:$AM, 10, FALSE), 1)</f>
        <v>5.501534796499708E-3</v>
      </c>
      <c r="P15" s="7">
        <f>$B15 * IFERROR(VLOOKUP("LULUCF|NOx|Work loss days", US_national_yearly!$D:$AM, 24, FALSE) / VLOOKUP("LULUCF|NOx|Work loss days", US_national_yearly!$D:$AM, 10, FALSE), 1)</f>
        <v>5.5372268234214362E-3</v>
      </c>
      <c r="Q15" s="7">
        <f>$B15 * IFERROR(VLOOKUP("LULUCF|NOx|Work loss days", US_national_yearly!$D:$AM, 25, FALSE) / VLOOKUP("LULUCF|NOx|Work loss days", US_national_yearly!$D:$AM, 10, FALSE), 1)</f>
        <v>5.5729188503431636E-3</v>
      </c>
      <c r="R15" s="7">
        <f>$B15 * IFERROR(VLOOKUP("LULUCF|NOx|Work loss days", US_national_yearly!$D:$AM, 26, FALSE) / VLOOKUP("LULUCF|NOx|Work loss days", US_national_yearly!$D:$AM, 10, FALSE), 1)</f>
        <v>5.6086108772648927E-3</v>
      </c>
      <c r="S15" s="7">
        <f>$B15 * IFERROR(VLOOKUP("LULUCF|NOx|Work loss days", US_national_yearly!$D:$AM, 27, FALSE) / VLOOKUP("LULUCF|NOx|Work loss days", US_national_yearly!$D:$AM, 10, FALSE), 1)</f>
        <v>5.6484029236285064E-3</v>
      </c>
      <c r="T15" s="7">
        <f>$B15 * IFERROR(VLOOKUP("LULUCF|NOx|Work loss days", US_national_yearly!$D:$AM, 28, FALSE) / VLOOKUP("LULUCF|NOx|Work loss days", US_national_yearly!$D:$AM, 10, FALSE), 1)</f>
        <v>5.6881949699921202E-3</v>
      </c>
      <c r="U15" s="7">
        <f>$B15 * IFERROR(VLOOKUP("LULUCF|NOx|Work loss days", US_national_yearly!$D:$AM, 29, FALSE) / VLOOKUP("LULUCF|NOx|Work loss days", US_national_yearly!$D:$AM, 10, FALSE), 1)</f>
        <v>5.7279870163557322E-3</v>
      </c>
      <c r="V15" s="7">
        <f>$B15 * IFERROR(VLOOKUP("LULUCF|NOx|Work loss days", US_national_yearly!$D:$AM, 30, FALSE) / VLOOKUP("LULUCF|NOx|Work loss days", US_national_yearly!$D:$AM, 10, FALSE), 1)</f>
        <v>5.767779062719346E-3</v>
      </c>
      <c r="W15" s="7">
        <f>$B15 * IFERROR(VLOOKUP("LULUCF|NOx|Work loss days", US_national_yearly!$D:$AM, 31, FALSE) / VLOOKUP("LULUCF|NOx|Work loss days", US_national_yearly!$D:$AM, 10, FALSE), 1)</f>
        <v>5.8075711090829598E-3</v>
      </c>
      <c r="X15" s="7">
        <f>$B15 * IFERROR(VLOOKUP("LULUCF|NOx|Work loss days", US_national_yearly!$D:$AM, 32, FALSE) / VLOOKUP("LULUCF|NOx|Work loss days", US_national_yearly!$D:$AM, 10, FALSE), 1)</f>
        <v>5.8421084837443635E-3</v>
      </c>
      <c r="Y15" s="7">
        <f>$B15 * IFERROR(VLOOKUP("LULUCF|NOx|Work loss days", US_national_yearly!$D:$AM, 33, FALSE) / VLOOKUP("LULUCF|NOx|Work loss days", US_national_yearly!$D:$AM, 10, FALSE), 1)</f>
        <v>5.8766458584057664E-3</v>
      </c>
      <c r="Z15" s="7">
        <f>$B15 * IFERROR(VLOOKUP("LULUCF|NOx|Work loss days", US_national_yearly!$D:$AM, 34, FALSE) / VLOOKUP("LULUCF|NOx|Work loss days", US_national_yearly!$D:$AM, 10, FALSE), 1)</f>
        <v>5.9111832330671701E-3</v>
      </c>
      <c r="AA15" s="7">
        <f>$B15 * IFERROR(VLOOKUP("LULUCF|NOx|Work loss days", US_national_yearly!$D:$AM, 35, FALSE) / VLOOKUP("LULUCF|NOx|Work loss days", US_national_yearly!$D:$AM, 10, FALSE), 1)</f>
        <v>5.9457206077285739E-3</v>
      </c>
      <c r="AB15" s="7">
        <f>$B15 * IFERROR(VLOOKUP("LULUCF|NOx|Work loss days", US_national_yearly!$D:$AM, 36, FALSE) / VLOOKUP("LULUCF|NOx|Work loss days", US_national_yearly!$D:$AM, 10, FALSE), 1)</f>
        <v>5.9802579823899776E-3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1.3941860895127014E-5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1.4351537342973125E-5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1.4761213790819234E-5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1.5170890238665341E-5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1.5580566686511454E-5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1.5969691561887179E-5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1.6358816437262904E-5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1.6686040438164138E-5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1.7013264439065369E-5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1.7340488439966604E-5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1.7667712440867838E-5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1.7994936441769073E-5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1.81995604520298E-5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1.840418446229053E-5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1.8608808472551254E-5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1.8813432482811984E-5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1.9018056493072712E-5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1.9111420809880997E-5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1.9204785126689283E-5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1.9298149443497566E-5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1.9391513760305851E-5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1.9484878077114137E-5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1.9536838556322854E-5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1.9588799035531567E-5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1.9640759514740283E-5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1.9692719993948997E-5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1.9744680473157713E-5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1.280521060061467E-4</v>
      </c>
      <c r="C2" s="7">
        <f>$B2 * IFERROR(VLOOKUP("LULUCF|SO2|Premature mortality", US_national_yearly!$D:$AM, 11, FALSE) / VLOOKUP("LULUCF|SO2|Premature mortality", US_national_yearly!$D:$AM, 10, FALSE), 1)</f>
        <v>1.2967381664427468E-4</v>
      </c>
      <c r="D2" s="7">
        <f>$B2 * IFERROR(VLOOKUP("LULUCF|SO2|Premature mortality", US_national_yearly!$D:$AM, 12, FALSE) / VLOOKUP("LULUCF|SO2|Premature mortality", US_national_yearly!$D:$AM, 10, FALSE), 1)</f>
        <v>1.3129552728240271E-4</v>
      </c>
      <c r="E2" s="7">
        <f>$B2 * IFERROR(VLOOKUP("LULUCF|SO2|Premature mortality", US_national_yearly!$D:$AM, 13, FALSE) / VLOOKUP("LULUCF|SO2|Premature mortality", US_national_yearly!$D:$AM, 10, FALSE), 1)</f>
        <v>1.3291723792053069E-4</v>
      </c>
      <c r="F2" s="7">
        <f>$B2 * IFERROR(VLOOKUP("LULUCF|SO2|Premature mortality", US_national_yearly!$D:$AM, 14, FALSE) / VLOOKUP("LULUCF|SO2|Premature mortality", US_national_yearly!$D:$AM, 10, FALSE), 1)</f>
        <v>1.3453894855865869E-4</v>
      </c>
      <c r="G2" s="7">
        <f>$B2 * IFERROR(VLOOKUP("LULUCF|SO2|Premature mortality", US_national_yearly!$D:$AM, 15, FALSE) / VLOOKUP("LULUCF|SO2|Premature mortality", US_national_yearly!$D:$AM, 10, FALSE), 1)</f>
        <v>1.3766389304974304E-4</v>
      </c>
      <c r="H2" s="7">
        <f>$B2 * IFERROR(VLOOKUP("LULUCF|SO2|Premature mortality", US_national_yearly!$D:$AM, 16, FALSE) / VLOOKUP("LULUCF|SO2|Premature mortality", US_national_yearly!$D:$AM, 10, FALSE), 1)</f>
        <v>1.4078883754082736E-4</v>
      </c>
      <c r="I2" s="7">
        <f>$B2 * IFERROR(VLOOKUP("LULUCF|SO2|Premature mortality", US_national_yearly!$D:$AM, 17, FALSE) / VLOOKUP("LULUCF|SO2|Premature mortality", US_national_yearly!$D:$AM, 10, FALSE), 1)</f>
        <v>1.4285399233844535E-4</v>
      </c>
      <c r="J2" s="7">
        <f>$B2 * IFERROR(VLOOKUP("LULUCF|SO2|Premature mortality", US_national_yearly!$D:$AM, 18, FALSE) / VLOOKUP("LULUCF|SO2|Premature mortality", US_national_yearly!$D:$AM, 10, FALSE), 1)</f>
        <v>1.4491914713606334E-4</v>
      </c>
      <c r="K2" s="7">
        <f>$B2 * IFERROR(VLOOKUP("LULUCF|SO2|Premature mortality", US_national_yearly!$D:$AM, 19, FALSE) / VLOOKUP("LULUCF|SO2|Premature mortality", US_national_yearly!$D:$AM, 10, FALSE), 1)</f>
        <v>1.4698430193368133E-4</v>
      </c>
      <c r="L2" s="7">
        <f>$B2 * IFERROR(VLOOKUP("LULUCF|SO2|Premature mortality", US_national_yearly!$D:$AM, 20, FALSE) / VLOOKUP("LULUCF|SO2|Premature mortality", US_national_yearly!$D:$AM, 10, FALSE), 1)</f>
        <v>1.4904945673129932E-4</v>
      </c>
      <c r="M2" s="7">
        <f>$B2 * IFERROR(VLOOKUP("LULUCF|SO2|Premature mortality", US_national_yearly!$D:$AM, 21, FALSE) / VLOOKUP("LULUCF|SO2|Premature mortality", US_national_yearly!$D:$AM, 10, FALSE), 1)</f>
        <v>1.5111461152891731E-4</v>
      </c>
      <c r="N2" s="7">
        <f>$B2 * IFERROR(VLOOKUP("LULUCF|SO2|Premature mortality", US_national_yearly!$D:$AM, 22, FALSE) / VLOOKUP("LULUCF|SO2|Premature mortality", US_national_yearly!$D:$AM, 10, FALSE), 1)</f>
        <v>1.5272821146814866E-4</v>
      </c>
      <c r="O2" s="7">
        <f>$B2 * IFERROR(VLOOKUP("LULUCF|SO2|Premature mortality", US_national_yearly!$D:$AM, 23, FALSE) / VLOOKUP("LULUCF|SO2|Premature mortality", US_national_yearly!$D:$AM, 10, FALSE), 1)</f>
        <v>1.5434181140738004E-4</v>
      </c>
      <c r="P2" s="7">
        <f>$B2 * IFERROR(VLOOKUP("LULUCF|SO2|Premature mortality", US_national_yearly!$D:$AM, 24, FALSE) / VLOOKUP("LULUCF|SO2|Premature mortality", US_national_yearly!$D:$AM, 10, FALSE), 1)</f>
        <v>1.5595541134661142E-4</v>
      </c>
      <c r="Q2" s="7">
        <f>$B2 * IFERROR(VLOOKUP("LULUCF|SO2|Premature mortality", US_national_yearly!$D:$AM, 25, FALSE) / VLOOKUP("LULUCF|SO2|Premature mortality", US_national_yearly!$D:$AM, 10, FALSE), 1)</f>
        <v>1.5756901128584277E-4</v>
      </c>
      <c r="R2" s="7">
        <f>$B2 * IFERROR(VLOOKUP("LULUCF|SO2|Premature mortality", US_national_yearly!$D:$AM, 26, FALSE) / VLOOKUP("LULUCF|SO2|Premature mortality", US_national_yearly!$D:$AM, 10, FALSE), 1)</f>
        <v>1.5918261122507412E-4</v>
      </c>
      <c r="S2" s="7">
        <f>$B2 * IFERROR(VLOOKUP("LULUCF|SO2|Premature mortality", US_national_yearly!$D:$AM, 27, FALSE) / VLOOKUP("LULUCF|SO2|Premature mortality", US_national_yearly!$D:$AM, 10, FALSE), 1)</f>
        <v>1.6004671547793721E-4</v>
      </c>
      <c r="T2" s="7">
        <f>$B2 * IFERROR(VLOOKUP("LULUCF|SO2|Premature mortality", US_national_yearly!$D:$AM, 28, FALSE) / VLOOKUP("LULUCF|SO2|Premature mortality", US_national_yearly!$D:$AM, 10, FALSE), 1)</f>
        <v>1.6091081973080028E-4</v>
      </c>
      <c r="U2" s="7">
        <f>$B2 * IFERROR(VLOOKUP("LULUCF|SO2|Premature mortality", US_national_yearly!$D:$AM, 29, FALSE) / VLOOKUP("LULUCF|SO2|Premature mortality", US_national_yearly!$D:$AM, 10, FALSE), 1)</f>
        <v>1.6177492398366337E-4</v>
      </c>
      <c r="V2" s="7">
        <f>$B2 * IFERROR(VLOOKUP("LULUCF|SO2|Premature mortality", US_national_yearly!$D:$AM, 30, FALSE) / VLOOKUP("LULUCF|SO2|Premature mortality", US_national_yearly!$D:$AM, 10, FALSE), 1)</f>
        <v>1.6263902823652644E-4</v>
      </c>
      <c r="W2" s="7">
        <f>$B2 * IFERROR(VLOOKUP("LULUCF|SO2|Premature mortality", US_national_yearly!$D:$AM, 31, FALSE) / VLOOKUP("LULUCF|SO2|Premature mortality", US_national_yearly!$D:$AM, 10, FALSE), 1)</f>
        <v>1.6350313248938953E-4</v>
      </c>
      <c r="X2" s="7">
        <f>$B2 * IFERROR(VLOOKUP("LULUCF|SO2|Premature mortality", US_national_yearly!$D:$AM, 32, FALSE) / VLOOKUP("LULUCF|SO2|Premature mortality", US_national_yearly!$D:$AM, 10, FALSE), 1)</f>
        <v>1.6367867791145481E-4</v>
      </c>
      <c r="Y2" s="7">
        <f>$B2 * IFERROR(VLOOKUP("LULUCF|SO2|Premature mortality", US_national_yearly!$D:$AM, 33, FALSE) / VLOOKUP("LULUCF|SO2|Premature mortality", US_national_yearly!$D:$AM, 10, FALSE), 1)</f>
        <v>1.6385422333352009E-4</v>
      </c>
      <c r="Z2" s="7">
        <f>$B2 * IFERROR(VLOOKUP("LULUCF|SO2|Premature mortality", US_national_yearly!$D:$AM, 34, FALSE) / VLOOKUP("LULUCF|SO2|Premature mortality", US_national_yearly!$D:$AM, 10, FALSE), 1)</f>
        <v>1.6402976875558539E-4</v>
      </c>
      <c r="AA2" s="7">
        <f>$B2 * IFERROR(VLOOKUP("LULUCF|SO2|Premature mortality", US_national_yearly!$D:$AM, 35, FALSE) / VLOOKUP("LULUCF|SO2|Premature mortality", US_national_yearly!$D:$AM, 10, FALSE), 1)</f>
        <v>1.642053141776507E-4</v>
      </c>
      <c r="AB2" s="7">
        <f>$B2 * IFERROR(VLOOKUP("LULUCF|SO2|Premature mortality", US_national_yearly!$D:$AM, 36, FALSE) / VLOOKUP("LULUCF|SO2|Premature mortality", US_national_yearly!$D:$AM, 10, FALSE), 1)</f>
        <v>1.6438085959971595E-4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3.1611084331665123E-7</v>
      </c>
      <c r="C3" s="7">
        <f>$B3 * IFERROR(VLOOKUP("LULUCF|SO2|Infant mortality", US_national_yearly!$D:$AM, 11, FALSE) / VLOOKUP("LULUCF|SO2|Infant mortality", US_national_yearly!$D:$AM, 10, FALSE), 1)</f>
        <v>3.1339539351218235E-7</v>
      </c>
      <c r="D3" s="7">
        <f>$B3 * IFERROR(VLOOKUP("LULUCF|SO2|Infant mortality", US_national_yearly!$D:$AM, 12, FALSE) / VLOOKUP("LULUCF|SO2|Infant mortality", US_national_yearly!$D:$AM, 10, FALSE), 1)</f>
        <v>3.1067994370771348E-7</v>
      </c>
      <c r="E3" s="7">
        <f>$B3 * IFERROR(VLOOKUP("LULUCF|SO2|Infant mortality", US_national_yearly!$D:$AM, 13, FALSE) / VLOOKUP("LULUCF|SO2|Infant mortality", US_national_yearly!$D:$AM, 10, FALSE), 1)</f>
        <v>3.0796449390324455E-7</v>
      </c>
      <c r="F3" s="7">
        <f>$B3 * IFERROR(VLOOKUP("LULUCF|SO2|Infant mortality", US_national_yearly!$D:$AM, 14, FALSE) / VLOOKUP("LULUCF|SO2|Infant mortality", US_national_yearly!$D:$AM, 10, FALSE), 1)</f>
        <v>3.0524904409877567E-7</v>
      </c>
      <c r="G3" s="7">
        <f>$B3 * IFERROR(VLOOKUP("LULUCF|SO2|Infant mortality", US_national_yearly!$D:$AM, 15, FALSE) / VLOOKUP("LULUCF|SO2|Infant mortality", US_national_yearly!$D:$AM, 10, FALSE), 1)</f>
        <v>2.0332044861030072E-7</v>
      </c>
      <c r="H3" s="7">
        <f>$B3 * IFERROR(VLOOKUP("LULUCF|SO2|Infant mortality", US_national_yearly!$D:$AM, 16, FALSE) / VLOOKUP("LULUCF|SO2|Infant mortality", US_national_yearly!$D:$AM, 10, FALSE), 1)</f>
        <v>1.0139185312182591E-7</v>
      </c>
      <c r="I3" s="7">
        <f>$B3 * IFERROR(VLOOKUP("LULUCF|SO2|Infant mortality", US_national_yearly!$D:$AM, 17, FALSE) / VLOOKUP("LULUCF|SO2|Infant mortality", US_national_yearly!$D:$AM, 10, FALSE), 1)</f>
        <v>1.0075579140948181E-7</v>
      </c>
      <c r="J3" s="7">
        <f>$B3 * IFERROR(VLOOKUP("LULUCF|SO2|Infant mortality", US_national_yearly!$D:$AM, 18, FALSE) / VLOOKUP("LULUCF|SO2|Infant mortality", US_national_yearly!$D:$AM, 10, FALSE), 1)</f>
        <v>1.0011972969713772E-7</v>
      </c>
      <c r="K3" s="7">
        <f>$B3 * IFERROR(VLOOKUP("LULUCF|SO2|Infant mortality", US_national_yearly!$D:$AM, 19, FALSE) / VLOOKUP("LULUCF|SO2|Infant mortality", US_national_yearly!$D:$AM, 10, FALSE), 1)</f>
        <v>9.9483667984793607E-8</v>
      </c>
      <c r="L3" s="7">
        <f>$B3 * IFERROR(VLOOKUP("LULUCF|SO2|Infant mortality", US_national_yearly!$D:$AM, 20, FALSE) / VLOOKUP("LULUCF|SO2|Infant mortality", US_national_yearly!$D:$AM, 10, FALSE), 1)</f>
        <v>9.8847606272449537E-8</v>
      </c>
      <c r="M3" s="7">
        <f>$B3 * IFERROR(VLOOKUP("LULUCF|SO2|Infant mortality", US_national_yearly!$D:$AM, 21, FALSE) / VLOOKUP("LULUCF|SO2|Infant mortality", US_national_yearly!$D:$AM, 10, FALSE), 1)</f>
        <v>9.8211544560105426E-8</v>
      </c>
      <c r="N3" s="7">
        <f>$B3 * IFERROR(VLOOKUP("LULUCF|SO2|Infant mortality", US_national_yearly!$D:$AM, 22, FALSE) / VLOOKUP("LULUCF|SO2|Infant mortality", US_national_yearly!$D:$AM, 10, FALSE), 1)</f>
        <v>9.7812293385246235E-8</v>
      </c>
      <c r="O3" s="7">
        <f>$B3 * IFERROR(VLOOKUP("LULUCF|SO2|Infant mortality", US_national_yearly!$D:$AM, 23, FALSE) / VLOOKUP("LULUCF|SO2|Infant mortality", US_national_yearly!$D:$AM, 10, FALSE), 1)</f>
        <v>9.7413042210387043E-8</v>
      </c>
      <c r="P3" s="7">
        <f>$B3 * IFERROR(VLOOKUP("LULUCF|SO2|Infant mortality", US_national_yearly!$D:$AM, 24, FALSE) / VLOOKUP("LULUCF|SO2|Infant mortality", US_national_yearly!$D:$AM, 10, FALSE), 1)</f>
        <v>9.7013791035527838E-8</v>
      </c>
      <c r="Q3" s="7">
        <f>$B3 * IFERROR(VLOOKUP("LULUCF|SO2|Infant mortality", US_national_yearly!$D:$AM, 25, FALSE) / VLOOKUP("LULUCF|SO2|Infant mortality", US_national_yearly!$D:$AM, 10, FALSE), 1)</f>
        <v>9.6614539860668646E-8</v>
      </c>
      <c r="R3" s="7">
        <f>$B3 * IFERROR(VLOOKUP("LULUCF|SO2|Infant mortality", US_national_yearly!$D:$AM, 26, FALSE) / VLOOKUP("LULUCF|SO2|Infant mortality", US_national_yearly!$D:$AM, 10, FALSE), 1)</f>
        <v>9.6215288685809428E-8</v>
      </c>
      <c r="S3" s="7">
        <f>$B3 * IFERROR(VLOOKUP("LULUCF|SO2|Infant mortality", US_national_yearly!$D:$AM, 27, FALSE) / VLOOKUP("LULUCF|SO2|Infant mortality", US_national_yearly!$D:$AM, 10, FALSE), 1)</f>
        <v>9.5714004512871482E-8</v>
      </c>
      <c r="T3" s="7">
        <f>$B3 * IFERROR(VLOOKUP("LULUCF|SO2|Infant mortality", US_national_yearly!$D:$AM, 28, FALSE) / VLOOKUP("LULUCF|SO2|Infant mortality", US_national_yearly!$D:$AM, 10, FALSE), 1)</f>
        <v>9.5212720339933536E-8</v>
      </c>
      <c r="U3" s="7">
        <f>$B3 * IFERROR(VLOOKUP("LULUCF|SO2|Infant mortality", US_national_yearly!$D:$AM, 29, FALSE) / VLOOKUP("LULUCF|SO2|Infant mortality", US_national_yearly!$D:$AM, 10, FALSE), 1)</f>
        <v>9.4711436166995563E-8</v>
      </c>
      <c r="V3" s="7">
        <f>$B3 * IFERROR(VLOOKUP("LULUCF|SO2|Infant mortality", US_national_yearly!$D:$AM, 30, FALSE) / VLOOKUP("LULUCF|SO2|Infant mortality", US_national_yearly!$D:$AM, 10, FALSE), 1)</f>
        <v>9.421015199405763E-8</v>
      </c>
      <c r="W3" s="7">
        <f>$B3 * IFERROR(VLOOKUP("LULUCF|SO2|Infant mortality", US_national_yearly!$D:$AM, 31, FALSE) / VLOOKUP("LULUCF|SO2|Infant mortality", US_national_yearly!$D:$AM, 10, FALSE), 1)</f>
        <v>9.3708867821119671E-8</v>
      </c>
      <c r="X3" s="7">
        <f>$B3 * IFERROR(VLOOKUP("LULUCF|SO2|Infant mortality", US_national_yearly!$D:$AM, 32, FALSE) / VLOOKUP("LULUCF|SO2|Infant mortality", US_national_yearly!$D:$AM, 10, FALSE), 1)</f>
        <v>9.3160809487674274E-8</v>
      </c>
      <c r="Y3" s="7">
        <f>$B3 * IFERROR(VLOOKUP("LULUCF|SO2|Infant mortality", US_national_yearly!$D:$AM, 33, FALSE) / VLOOKUP("LULUCF|SO2|Infant mortality", US_national_yearly!$D:$AM, 10, FALSE), 1)</f>
        <v>9.2612751154228851E-8</v>
      </c>
      <c r="Z3" s="7">
        <f>$B3 * IFERROR(VLOOKUP("LULUCF|SO2|Infant mortality", US_national_yearly!$D:$AM, 34, FALSE) / VLOOKUP("LULUCF|SO2|Infant mortality", US_national_yearly!$D:$AM, 10, FALSE), 1)</f>
        <v>9.2064692820783454E-8</v>
      </c>
      <c r="AA3" s="7">
        <f>$B3 * IFERROR(VLOOKUP("LULUCF|SO2|Infant mortality", US_national_yearly!$D:$AM, 35, FALSE) / VLOOKUP("LULUCF|SO2|Infant mortality", US_national_yearly!$D:$AM, 10, FALSE), 1)</f>
        <v>9.1516634487338031E-8</v>
      </c>
      <c r="AB3" s="7">
        <f>$B3 * IFERROR(VLOOKUP("LULUCF|SO2|Infant mortality", US_national_yearly!$D:$AM, 36, FALSE) / VLOOKUP("LULUCF|SO2|Infant mortality", US_national_yearly!$D:$AM, 10, FALSE), 1)</f>
        <v>9.0968576153892634E-8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2.6742336943918912E-4</v>
      </c>
      <c r="C6" s="7">
        <f>$B6 * IFERROR(VLOOKUP("LULUCF|SO2|Asthma symptoms cough", US_national_yearly!$D:$AM, 11, FALSE) / VLOOKUP("LULUCF|SO2|Asthma symptoms cough", US_national_yearly!$D:$AM, 10, FALSE), 1)</f>
        <v>2.6742336943918912E-4</v>
      </c>
      <c r="D6" s="7">
        <f>$B6 * IFERROR(VLOOKUP("LULUCF|SO2|Asthma symptoms cough", US_national_yearly!$D:$AM, 12, FALSE) / VLOOKUP("LULUCF|SO2|Asthma symptoms cough", US_national_yearly!$D:$AM, 10, FALSE), 1)</f>
        <v>2.6742336943918912E-4</v>
      </c>
      <c r="E6" s="7">
        <f>$B6 * IFERROR(VLOOKUP("LULUCF|SO2|Asthma symptoms cough", US_national_yearly!$D:$AM, 13, FALSE) / VLOOKUP("LULUCF|SO2|Asthma symptoms cough", US_national_yearly!$D:$AM, 10, FALSE), 1)</f>
        <v>2.6742336943918912E-4</v>
      </c>
      <c r="F6" s="7">
        <f>$B6 * IFERROR(VLOOKUP("LULUCF|SO2|Asthma symptoms cough", US_national_yearly!$D:$AM, 14, FALSE) / VLOOKUP("LULUCF|SO2|Asthma symptoms cough", US_national_yearly!$D:$AM, 10, FALSE), 1)</f>
        <v>2.6742336943918912E-4</v>
      </c>
      <c r="G6" s="7">
        <f>$B6 * IFERROR(VLOOKUP("LULUCF|SO2|Asthma symptoms cough", US_national_yearly!$D:$AM, 15, FALSE) / VLOOKUP("LULUCF|SO2|Asthma symptoms cough", US_national_yearly!$D:$AM, 10, FALSE), 1)</f>
        <v>2.6742336943918912E-4</v>
      </c>
      <c r="H6" s="7">
        <f>$B6 * IFERROR(VLOOKUP("LULUCF|SO2|Asthma symptoms cough", US_national_yearly!$D:$AM, 16, FALSE) / VLOOKUP("LULUCF|SO2|Asthma symptoms cough", US_national_yearly!$D:$AM, 10, FALSE), 1)</f>
        <v>2.6742336943918912E-4</v>
      </c>
      <c r="I6" s="7">
        <f>$B6 * IFERROR(VLOOKUP("LULUCF|SO2|Asthma symptoms cough", US_national_yearly!$D:$AM, 17, FALSE) / VLOOKUP("LULUCF|SO2|Asthma symptoms cough", US_national_yearly!$D:$AM, 10, FALSE), 1)</f>
        <v>2.6742336943918912E-4</v>
      </c>
      <c r="J6" s="7">
        <f>$B6 * IFERROR(VLOOKUP("LULUCF|SO2|Asthma symptoms cough", US_national_yearly!$D:$AM, 18, FALSE) / VLOOKUP("LULUCF|SO2|Asthma symptoms cough", US_national_yearly!$D:$AM, 10, FALSE), 1)</f>
        <v>2.6742336943918912E-4</v>
      </c>
      <c r="K6" s="7">
        <f>$B6 * IFERROR(VLOOKUP("LULUCF|SO2|Asthma symptoms cough", US_national_yearly!$D:$AM, 19, FALSE) / VLOOKUP("LULUCF|SO2|Asthma symptoms cough", US_national_yearly!$D:$AM, 10, FALSE), 1)</f>
        <v>2.6742336943918912E-4</v>
      </c>
      <c r="L6" s="7">
        <f>$B6 * IFERROR(VLOOKUP("LULUCF|SO2|Asthma symptoms cough", US_national_yearly!$D:$AM, 20, FALSE) / VLOOKUP("LULUCF|SO2|Asthma symptoms cough", US_national_yearly!$D:$AM, 10, FALSE), 1)</f>
        <v>2.6742336943918912E-4</v>
      </c>
      <c r="M6" s="7">
        <f>$B6 * IFERROR(VLOOKUP("LULUCF|SO2|Asthma symptoms cough", US_national_yearly!$D:$AM, 21, FALSE) / VLOOKUP("LULUCF|SO2|Asthma symptoms cough", US_national_yearly!$D:$AM, 10, FALSE), 1)</f>
        <v>2.6742336943918912E-4</v>
      </c>
      <c r="N6" s="7">
        <f>$B6 * IFERROR(VLOOKUP("LULUCF|SO2|Asthma symptoms cough", US_national_yearly!$D:$AM, 22, FALSE) / VLOOKUP("LULUCF|SO2|Asthma symptoms cough", US_national_yearly!$D:$AM, 10, FALSE), 1)</f>
        <v>2.6742336943918912E-4</v>
      </c>
      <c r="O6" s="7">
        <f>$B6 * IFERROR(VLOOKUP("LULUCF|SO2|Asthma symptoms cough", US_national_yearly!$D:$AM, 23, FALSE) / VLOOKUP("LULUCF|SO2|Asthma symptoms cough", US_national_yearly!$D:$AM, 10, FALSE), 1)</f>
        <v>2.6742336943918912E-4</v>
      </c>
      <c r="P6" s="7">
        <f>$B6 * IFERROR(VLOOKUP("LULUCF|SO2|Asthma symptoms cough", US_national_yearly!$D:$AM, 24, FALSE) / VLOOKUP("LULUCF|SO2|Asthma symptoms cough", US_national_yearly!$D:$AM, 10, FALSE), 1)</f>
        <v>2.6742336943918912E-4</v>
      </c>
      <c r="Q6" s="7">
        <f>$B6 * IFERROR(VLOOKUP("LULUCF|SO2|Asthma symptoms cough", US_national_yearly!$D:$AM, 25, FALSE) / VLOOKUP("LULUCF|SO2|Asthma symptoms cough", US_national_yearly!$D:$AM, 10, FALSE), 1)</f>
        <v>2.6742336943918912E-4</v>
      </c>
      <c r="R6" s="7">
        <f>$B6 * IFERROR(VLOOKUP("LULUCF|SO2|Asthma symptoms cough", US_national_yearly!$D:$AM, 26, FALSE) / VLOOKUP("LULUCF|SO2|Asthma symptoms cough", US_national_yearly!$D:$AM, 10, FALSE), 1)</f>
        <v>2.6742336943918912E-4</v>
      </c>
      <c r="S6" s="7">
        <f>$B6 * IFERROR(VLOOKUP("LULUCF|SO2|Asthma symptoms cough", US_national_yearly!$D:$AM, 27, FALSE) / VLOOKUP("LULUCF|SO2|Asthma symptoms cough", US_national_yearly!$D:$AM, 10, FALSE), 1)</f>
        <v>2.6742336943918912E-4</v>
      </c>
      <c r="T6" s="7">
        <f>$B6 * IFERROR(VLOOKUP("LULUCF|SO2|Asthma symptoms cough", US_national_yearly!$D:$AM, 28, FALSE) / VLOOKUP("LULUCF|SO2|Asthma symptoms cough", US_national_yearly!$D:$AM, 10, FALSE), 1)</f>
        <v>2.6742336943918912E-4</v>
      </c>
      <c r="U6" s="7">
        <f>$B6 * IFERROR(VLOOKUP("LULUCF|SO2|Asthma symptoms cough", US_national_yearly!$D:$AM, 29, FALSE) / VLOOKUP("LULUCF|SO2|Asthma symptoms cough", US_national_yearly!$D:$AM, 10, FALSE), 1)</f>
        <v>2.6742336943918912E-4</v>
      </c>
      <c r="V6" s="7">
        <f>$B6 * IFERROR(VLOOKUP("LULUCF|SO2|Asthma symptoms cough", US_national_yearly!$D:$AM, 30, FALSE) / VLOOKUP("LULUCF|SO2|Asthma symptoms cough", US_national_yearly!$D:$AM, 10, FALSE), 1)</f>
        <v>2.6742336943918912E-4</v>
      </c>
      <c r="W6" s="7">
        <f>$B6 * IFERROR(VLOOKUP("LULUCF|SO2|Asthma symptoms cough", US_national_yearly!$D:$AM, 31, FALSE) / VLOOKUP("LULUCF|SO2|Asthma symptoms cough", US_national_yearly!$D:$AM, 10, FALSE), 1)</f>
        <v>2.6742336943918912E-4</v>
      </c>
      <c r="X6" s="7">
        <f>$B6 * IFERROR(VLOOKUP("LULUCF|SO2|Asthma symptoms cough", US_national_yearly!$D:$AM, 32, FALSE) / VLOOKUP("LULUCF|SO2|Asthma symptoms cough", US_national_yearly!$D:$AM, 10, FALSE), 1)</f>
        <v>2.6742336943918912E-4</v>
      </c>
      <c r="Y6" s="7">
        <f>$B6 * IFERROR(VLOOKUP("LULUCF|SO2|Asthma symptoms cough", US_national_yearly!$D:$AM, 33, FALSE) / VLOOKUP("LULUCF|SO2|Asthma symptoms cough", US_national_yearly!$D:$AM, 10, FALSE), 1)</f>
        <v>2.6742336943918912E-4</v>
      </c>
      <c r="Z6" s="7">
        <f>$B6 * IFERROR(VLOOKUP("LULUCF|SO2|Asthma symptoms cough", US_national_yearly!$D:$AM, 34, FALSE) / VLOOKUP("LULUCF|SO2|Asthma symptoms cough", US_national_yearly!$D:$AM, 10, FALSE), 1)</f>
        <v>2.6742336943918912E-4</v>
      </c>
      <c r="AA6" s="7">
        <f>$B6 * IFERROR(VLOOKUP("LULUCF|SO2|Asthma symptoms cough", US_national_yearly!$D:$AM, 35, FALSE) / VLOOKUP("LULUCF|SO2|Asthma symptoms cough", US_national_yearly!$D:$AM, 10, FALSE), 1)</f>
        <v>2.6742336943918912E-4</v>
      </c>
      <c r="AB6" s="7">
        <f>$B6 * IFERROR(VLOOKUP("LULUCF|SO2|Asthma symptoms cough", US_national_yearly!$D:$AM, 36, FALSE) / VLOOKUP("LULUCF|SO2|Asthma symptoms cough", US_national_yearly!$D:$AM, 10, FALSE), 1)</f>
        <v>2.6742336943918912E-4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3.6012307612506573E-4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3.6012307612506573E-4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3.6012307612506573E-4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3.6012307612506573E-4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3.6012307612506573E-4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3.6012307612506573E-4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3.6012307612506573E-4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3.6012307612506573E-4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3.6012307612506573E-4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3.6012307612506573E-4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3.6012307612506573E-4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3.6012307612506573E-4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3.6012307612506573E-4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3.6012307612506573E-4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3.6012307612506573E-4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3.6012307612506573E-4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3.6012307612506573E-4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3.6012307612506573E-4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3.6012307612506573E-4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3.6012307612506573E-4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3.6012307612506573E-4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3.6012307612506573E-4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3.6012307612506573E-4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3.6012307612506573E-4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3.6012307612506573E-4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3.6012307612506573E-4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3.6012307612506573E-4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5.5021164631871512E-4</v>
      </c>
      <c r="C8" s="7">
        <f>$B8 * IFERROR(VLOOKUP("LULUCF|SO2|Asthma symptoms wheeze", US_national_yearly!$D:$AM, 11, FALSE) / VLOOKUP("LULUCF|SO2|Asthma symptoms wheeze", US_national_yearly!$D:$AM, 10, FALSE), 1)</f>
        <v>5.5021164631871512E-4</v>
      </c>
      <c r="D8" s="7">
        <f>$B8 * IFERROR(VLOOKUP("LULUCF|SO2|Asthma symptoms wheeze", US_national_yearly!$D:$AM, 12, FALSE) / VLOOKUP("LULUCF|SO2|Asthma symptoms wheeze", US_national_yearly!$D:$AM, 10, FALSE), 1)</f>
        <v>5.5021164631871512E-4</v>
      </c>
      <c r="E8" s="7">
        <f>$B8 * IFERROR(VLOOKUP("LULUCF|SO2|Asthma symptoms wheeze", US_national_yearly!$D:$AM, 13, FALSE) / VLOOKUP("LULUCF|SO2|Asthma symptoms wheeze", US_national_yearly!$D:$AM, 10, FALSE), 1)</f>
        <v>5.5021164631871512E-4</v>
      </c>
      <c r="F8" s="7">
        <f>$B8 * IFERROR(VLOOKUP("LULUCF|SO2|Asthma symptoms wheeze", US_national_yearly!$D:$AM, 14, FALSE) / VLOOKUP("LULUCF|SO2|Asthma symptoms wheeze", US_national_yearly!$D:$AM, 10, FALSE), 1)</f>
        <v>5.5021164631871512E-4</v>
      </c>
      <c r="G8" s="7">
        <f>$B8 * IFERROR(VLOOKUP("LULUCF|SO2|Asthma symptoms wheeze", US_national_yearly!$D:$AM, 15, FALSE) / VLOOKUP("LULUCF|SO2|Asthma symptoms wheeze", US_national_yearly!$D:$AM, 10, FALSE), 1)</f>
        <v>5.5021164631871512E-4</v>
      </c>
      <c r="H8" s="7">
        <f>$B8 * IFERROR(VLOOKUP("LULUCF|SO2|Asthma symptoms wheeze", US_national_yearly!$D:$AM, 16, FALSE) / VLOOKUP("LULUCF|SO2|Asthma symptoms wheeze", US_national_yearly!$D:$AM, 10, FALSE), 1)</f>
        <v>5.5021164631871512E-4</v>
      </c>
      <c r="I8" s="7">
        <f>$B8 * IFERROR(VLOOKUP("LULUCF|SO2|Asthma symptoms wheeze", US_national_yearly!$D:$AM, 17, FALSE) / VLOOKUP("LULUCF|SO2|Asthma symptoms wheeze", US_national_yearly!$D:$AM, 10, FALSE), 1)</f>
        <v>5.5021164631871512E-4</v>
      </c>
      <c r="J8" s="7">
        <f>$B8 * IFERROR(VLOOKUP("LULUCF|SO2|Asthma symptoms wheeze", US_national_yearly!$D:$AM, 18, FALSE) / VLOOKUP("LULUCF|SO2|Asthma symptoms wheeze", US_national_yearly!$D:$AM, 10, FALSE), 1)</f>
        <v>5.5021164631871512E-4</v>
      </c>
      <c r="K8" s="7">
        <f>$B8 * IFERROR(VLOOKUP("LULUCF|SO2|Asthma symptoms wheeze", US_national_yearly!$D:$AM, 19, FALSE) / VLOOKUP("LULUCF|SO2|Asthma symptoms wheeze", US_national_yearly!$D:$AM, 10, FALSE), 1)</f>
        <v>5.5021164631871512E-4</v>
      </c>
      <c r="L8" s="7">
        <f>$B8 * IFERROR(VLOOKUP("LULUCF|SO2|Asthma symptoms wheeze", US_national_yearly!$D:$AM, 20, FALSE) / VLOOKUP("LULUCF|SO2|Asthma symptoms wheeze", US_national_yearly!$D:$AM, 10, FALSE), 1)</f>
        <v>5.5021164631871512E-4</v>
      </c>
      <c r="M8" s="7">
        <f>$B8 * IFERROR(VLOOKUP("LULUCF|SO2|Asthma symptoms wheeze", US_national_yearly!$D:$AM, 21, FALSE) / VLOOKUP("LULUCF|SO2|Asthma symptoms wheeze", US_national_yearly!$D:$AM, 10, FALSE), 1)</f>
        <v>5.5021164631871512E-4</v>
      </c>
      <c r="N8" s="7">
        <f>$B8 * IFERROR(VLOOKUP("LULUCF|SO2|Asthma symptoms wheeze", US_national_yearly!$D:$AM, 22, FALSE) / VLOOKUP("LULUCF|SO2|Asthma symptoms wheeze", US_national_yearly!$D:$AM, 10, FALSE), 1)</f>
        <v>5.5021164631871512E-4</v>
      </c>
      <c r="O8" s="7">
        <f>$B8 * IFERROR(VLOOKUP("LULUCF|SO2|Asthma symptoms wheeze", US_national_yearly!$D:$AM, 23, FALSE) / VLOOKUP("LULUCF|SO2|Asthma symptoms wheeze", US_national_yearly!$D:$AM, 10, FALSE), 1)</f>
        <v>5.5021164631871512E-4</v>
      </c>
      <c r="P8" s="7">
        <f>$B8 * IFERROR(VLOOKUP("LULUCF|SO2|Asthma symptoms wheeze", US_national_yearly!$D:$AM, 24, FALSE) / VLOOKUP("LULUCF|SO2|Asthma symptoms wheeze", US_national_yearly!$D:$AM, 10, FALSE), 1)</f>
        <v>5.5021164631871512E-4</v>
      </c>
      <c r="Q8" s="7">
        <f>$B8 * IFERROR(VLOOKUP("LULUCF|SO2|Asthma symptoms wheeze", US_national_yearly!$D:$AM, 25, FALSE) / VLOOKUP("LULUCF|SO2|Asthma symptoms wheeze", US_national_yearly!$D:$AM, 10, FALSE), 1)</f>
        <v>5.5021164631871512E-4</v>
      </c>
      <c r="R8" s="7">
        <f>$B8 * IFERROR(VLOOKUP("LULUCF|SO2|Asthma symptoms wheeze", US_national_yearly!$D:$AM, 26, FALSE) / VLOOKUP("LULUCF|SO2|Asthma symptoms wheeze", US_national_yearly!$D:$AM, 10, FALSE), 1)</f>
        <v>5.5021164631871512E-4</v>
      </c>
      <c r="S8" s="7">
        <f>$B8 * IFERROR(VLOOKUP("LULUCF|SO2|Asthma symptoms wheeze", US_national_yearly!$D:$AM, 27, FALSE) / VLOOKUP("LULUCF|SO2|Asthma symptoms wheeze", US_national_yearly!$D:$AM, 10, FALSE), 1)</f>
        <v>5.5021164631871512E-4</v>
      </c>
      <c r="T8" s="7">
        <f>$B8 * IFERROR(VLOOKUP("LULUCF|SO2|Asthma symptoms wheeze", US_national_yearly!$D:$AM, 28, FALSE) / VLOOKUP("LULUCF|SO2|Asthma symptoms wheeze", US_national_yearly!$D:$AM, 10, FALSE), 1)</f>
        <v>5.5021164631871512E-4</v>
      </c>
      <c r="U8" s="7">
        <f>$B8 * IFERROR(VLOOKUP("LULUCF|SO2|Asthma symptoms wheeze", US_national_yearly!$D:$AM, 29, FALSE) / VLOOKUP("LULUCF|SO2|Asthma symptoms wheeze", US_national_yearly!$D:$AM, 10, FALSE), 1)</f>
        <v>5.5021164631871512E-4</v>
      </c>
      <c r="V8" s="7">
        <f>$B8 * IFERROR(VLOOKUP("LULUCF|SO2|Asthma symptoms wheeze", US_national_yearly!$D:$AM, 30, FALSE) / VLOOKUP("LULUCF|SO2|Asthma symptoms wheeze", US_national_yearly!$D:$AM, 10, FALSE), 1)</f>
        <v>5.5021164631871512E-4</v>
      </c>
      <c r="W8" s="7">
        <f>$B8 * IFERROR(VLOOKUP("LULUCF|SO2|Asthma symptoms wheeze", US_national_yearly!$D:$AM, 31, FALSE) / VLOOKUP("LULUCF|SO2|Asthma symptoms wheeze", US_national_yearly!$D:$AM, 10, FALSE), 1)</f>
        <v>5.5021164631871512E-4</v>
      </c>
      <c r="X8" s="7">
        <f>$B8 * IFERROR(VLOOKUP("LULUCF|SO2|Asthma symptoms wheeze", US_national_yearly!$D:$AM, 32, FALSE) / VLOOKUP("LULUCF|SO2|Asthma symptoms wheeze", US_national_yearly!$D:$AM, 10, FALSE), 1)</f>
        <v>5.5021164631871512E-4</v>
      </c>
      <c r="Y8" s="7">
        <f>$B8 * IFERROR(VLOOKUP("LULUCF|SO2|Asthma symptoms wheeze", US_national_yearly!$D:$AM, 33, FALSE) / VLOOKUP("LULUCF|SO2|Asthma symptoms wheeze", US_national_yearly!$D:$AM, 10, FALSE), 1)</f>
        <v>5.5021164631871512E-4</v>
      </c>
      <c r="Z8" s="7">
        <f>$B8 * IFERROR(VLOOKUP("LULUCF|SO2|Asthma symptoms wheeze", US_national_yearly!$D:$AM, 34, FALSE) / VLOOKUP("LULUCF|SO2|Asthma symptoms wheeze", US_national_yearly!$D:$AM, 10, FALSE), 1)</f>
        <v>5.5021164631871512E-4</v>
      </c>
      <c r="AA8" s="7">
        <f>$B8 * IFERROR(VLOOKUP("LULUCF|SO2|Asthma symptoms wheeze", US_national_yearly!$D:$AM, 35, FALSE) / VLOOKUP("LULUCF|SO2|Asthma symptoms wheeze", US_national_yearly!$D:$AM, 10, FALSE), 1)</f>
        <v>5.5021164631871512E-4</v>
      </c>
      <c r="AB8" s="7">
        <f>$B8 * IFERROR(VLOOKUP("LULUCF|SO2|Asthma symptoms wheeze", US_national_yearly!$D:$AM, 36, FALSE) / VLOOKUP("LULUCF|SO2|Asthma symptoms wheeze", US_national_yearly!$D:$AM, 10, FALSE), 1)</f>
        <v>5.5021164631871512E-4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1.0932702592209539E-5</v>
      </c>
      <c r="C12" s="7">
        <f>$B12 * IFERROR(VLOOKUP("LULUCF|SO2|Respiratory hospital admissions", US_national_yearly!$D:$AM, 11, FALSE) / VLOOKUP("LULUCF|SO2|Respiratory hospital admissions", US_national_yearly!$D:$AM, 10, FALSE), 1)</f>
        <v>1.0997184215397947E-5</v>
      </c>
      <c r="D12" s="7">
        <f>$B12 * IFERROR(VLOOKUP("LULUCF|SO2|Respiratory hospital admissions", US_national_yearly!$D:$AM, 12, FALSE) / VLOOKUP("LULUCF|SO2|Respiratory hospital admissions", US_national_yearly!$D:$AM, 10, FALSE), 1)</f>
        <v>1.1061665838586355E-5</v>
      </c>
      <c r="E12" s="7">
        <f>$B12 * IFERROR(VLOOKUP("LULUCF|SO2|Respiratory hospital admissions", US_national_yearly!$D:$AM, 13, FALSE) / VLOOKUP("LULUCF|SO2|Respiratory hospital admissions", US_national_yearly!$D:$AM, 10, FALSE), 1)</f>
        <v>1.1126147461774765E-5</v>
      </c>
      <c r="F12" s="7">
        <f>$B12 * IFERROR(VLOOKUP("LULUCF|SO2|Respiratory hospital admissions", US_national_yearly!$D:$AM, 14, FALSE) / VLOOKUP("LULUCF|SO2|Respiratory hospital admissions", US_national_yearly!$D:$AM, 10, FALSE), 1)</f>
        <v>1.1190629084963173E-5</v>
      </c>
      <c r="G12" s="7">
        <f>$B12 * IFERROR(VLOOKUP("LULUCF|SO2|Respiratory hospital admissions", US_national_yearly!$D:$AM, 15, FALSE) / VLOOKUP("LULUCF|SO2|Respiratory hospital admissions", US_national_yearly!$D:$AM, 10, FALSE), 1)</f>
        <v>1.1260924930418062E-5</v>
      </c>
      <c r="H12" s="7">
        <f>$B12 * IFERROR(VLOOKUP("LULUCF|SO2|Respiratory hospital admissions", US_national_yearly!$D:$AM, 16, FALSE) / VLOOKUP("LULUCF|SO2|Respiratory hospital admissions", US_national_yearly!$D:$AM, 10, FALSE), 1)</f>
        <v>1.1331220775872953E-5</v>
      </c>
      <c r="I12" s="7">
        <f>$B12 * IFERROR(VLOOKUP("LULUCF|SO2|Respiratory hospital admissions", US_national_yearly!$D:$AM, 17, FALSE) / VLOOKUP("LULUCF|SO2|Respiratory hospital admissions", US_national_yearly!$D:$AM, 10, FALSE), 1)</f>
        <v>1.140054084920519E-5</v>
      </c>
      <c r="J12" s="7">
        <f>$B12 * IFERROR(VLOOKUP("LULUCF|SO2|Respiratory hospital admissions", US_national_yearly!$D:$AM, 18, FALSE) / VLOOKUP("LULUCF|SO2|Respiratory hospital admissions", US_national_yearly!$D:$AM, 10, FALSE), 1)</f>
        <v>1.1469860922537429E-5</v>
      </c>
      <c r="K12" s="7">
        <f>$B12 * IFERROR(VLOOKUP("LULUCF|SO2|Respiratory hospital admissions", US_national_yearly!$D:$AM, 19, FALSE) / VLOOKUP("LULUCF|SO2|Respiratory hospital admissions", US_national_yearly!$D:$AM, 10, FALSE), 1)</f>
        <v>1.1539180995869665E-5</v>
      </c>
      <c r="L12" s="7">
        <f>$B12 * IFERROR(VLOOKUP("LULUCF|SO2|Respiratory hospital admissions", US_national_yearly!$D:$AM, 20, FALSE) / VLOOKUP("LULUCF|SO2|Respiratory hospital admissions", US_national_yearly!$D:$AM, 10, FALSE), 1)</f>
        <v>1.1608501069201904E-5</v>
      </c>
      <c r="M12" s="7">
        <f>$B12 * IFERROR(VLOOKUP("LULUCF|SO2|Respiratory hospital admissions", US_national_yearly!$D:$AM, 21, FALSE) / VLOOKUP("LULUCF|SO2|Respiratory hospital admissions", US_national_yearly!$D:$AM, 10, FALSE), 1)</f>
        <v>1.167782114253414E-5</v>
      </c>
      <c r="N12" s="7">
        <f>$B12 * IFERROR(VLOOKUP("LULUCF|SO2|Respiratory hospital admissions", US_national_yearly!$D:$AM, 22, FALSE) / VLOOKUP("LULUCF|SO2|Respiratory hospital admissions", US_national_yearly!$D:$AM, 10, FALSE), 1)</f>
        <v>1.1728422656253221E-5</v>
      </c>
      <c r="O12" s="7">
        <f>$B12 * IFERROR(VLOOKUP("LULUCF|SO2|Respiratory hospital admissions", US_national_yearly!$D:$AM, 23, FALSE) / VLOOKUP("LULUCF|SO2|Respiratory hospital admissions", US_national_yearly!$D:$AM, 10, FALSE), 1)</f>
        <v>1.1779024169972298E-5</v>
      </c>
      <c r="P12" s="7">
        <f>$B12 * IFERROR(VLOOKUP("LULUCF|SO2|Respiratory hospital admissions", US_national_yearly!$D:$AM, 24, FALSE) / VLOOKUP("LULUCF|SO2|Respiratory hospital admissions", US_national_yearly!$D:$AM, 10, FALSE), 1)</f>
        <v>1.1829625683691376E-5</v>
      </c>
      <c r="Q12" s="7">
        <f>$B12 * IFERROR(VLOOKUP("LULUCF|SO2|Respiratory hospital admissions", US_national_yearly!$D:$AM, 25, FALSE) / VLOOKUP("LULUCF|SO2|Respiratory hospital admissions", US_national_yearly!$D:$AM, 10, FALSE), 1)</f>
        <v>1.1880227197410457E-5</v>
      </c>
      <c r="R12" s="7">
        <f>$B12 * IFERROR(VLOOKUP("LULUCF|SO2|Respiratory hospital admissions", US_national_yearly!$D:$AM, 26, FALSE) / VLOOKUP("LULUCF|SO2|Respiratory hospital admissions", US_national_yearly!$D:$AM, 10, FALSE), 1)</f>
        <v>1.1930828711129534E-5</v>
      </c>
      <c r="S12" s="7">
        <f>$B12 * IFERROR(VLOOKUP("LULUCF|SO2|Respiratory hospital admissions", US_national_yearly!$D:$AM, 27, FALSE) / VLOOKUP("LULUCF|SO2|Respiratory hospital admissions", US_national_yearly!$D:$AM, 10, FALSE), 1)</f>
        <v>1.1979098694213091E-5</v>
      </c>
      <c r="T12" s="7">
        <f>$B12 * IFERROR(VLOOKUP("LULUCF|SO2|Respiratory hospital admissions", US_national_yearly!$D:$AM, 28, FALSE) / VLOOKUP("LULUCF|SO2|Respiratory hospital admissions", US_national_yearly!$D:$AM, 10, FALSE), 1)</f>
        <v>1.2027368677296644E-5</v>
      </c>
      <c r="U12" s="7">
        <f>$B12 * IFERROR(VLOOKUP("LULUCF|SO2|Respiratory hospital admissions", US_national_yearly!$D:$AM, 29, FALSE) / VLOOKUP("LULUCF|SO2|Respiratory hospital admissions", US_national_yearly!$D:$AM, 10, FALSE), 1)</f>
        <v>1.20756386603802E-5</v>
      </c>
      <c r="V12" s="7">
        <f>$B12 * IFERROR(VLOOKUP("LULUCF|SO2|Respiratory hospital admissions", US_national_yearly!$D:$AM, 30, FALSE) / VLOOKUP("LULUCF|SO2|Respiratory hospital admissions", US_national_yearly!$D:$AM, 10, FALSE), 1)</f>
        <v>1.2123908643463755E-5</v>
      </c>
      <c r="W12" s="7">
        <f>$B12 * IFERROR(VLOOKUP("LULUCF|SO2|Respiratory hospital admissions", US_national_yearly!$D:$AM, 31, FALSE) / VLOOKUP("LULUCF|SO2|Respiratory hospital admissions", US_national_yearly!$D:$AM, 10, FALSE), 1)</f>
        <v>1.2172178626547311E-5</v>
      </c>
      <c r="X12" s="7">
        <f>$B12 * IFERROR(VLOOKUP("LULUCF|SO2|Respiratory hospital admissions", US_national_yearly!$D:$AM, 32, FALSE) / VLOOKUP("LULUCF|SO2|Respiratory hospital admissions", US_national_yearly!$D:$AM, 10, FALSE), 1)</f>
        <v>1.2217978915504184E-5</v>
      </c>
      <c r="Y12" s="7">
        <f>$B12 * IFERROR(VLOOKUP("LULUCF|SO2|Respiratory hospital admissions", US_national_yearly!$D:$AM, 33, FALSE) / VLOOKUP("LULUCF|SO2|Respiratory hospital admissions", US_national_yearly!$D:$AM, 10, FALSE), 1)</f>
        <v>1.2263779204461057E-5</v>
      </c>
      <c r="Z12" s="7">
        <f>$B12 * IFERROR(VLOOKUP("LULUCF|SO2|Respiratory hospital admissions", US_national_yearly!$D:$AM, 34, FALSE) / VLOOKUP("LULUCF|SO2|Respiratory hospital admissions", US_national_yearly!$D:$AM, 10, FALSE), 1)</f>
        <v>1.2309579493417931E-5</v>
      </c>
      <c r="AA12" s="7">
        <f>$B12 * IFERROR(VLOOKUP("LULUCF|SO2|Respiratory hospital admissions", US_national_yearly!$D:$AM, 35, FALSE) / VLOOKUP("LULUCF|SO2|Respiratory hospital admissions", US_national_yearly!$D:$AM, 10, FALSE), 1)</f>
        <v>1.2355379782374804E-5</v>
      </c>
      <c r="AB12" s="7">
        <f>$B12 * IFERROR(VLOOKUP("LULUCF|SO2|Respiratory hospital admissions", US_national_yearly!$D:$AM, 36, FALSE) / VLOOKUP("LULUCF|SO2|Respiratory hospital admissions", US_national_yearly!$D:$AM, 10, FALSE), 1)</f>
        <v>1.240118007133168E-5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5.4092777175705427E-5</v>
      </c>
      <c r="C13" s="7">
        <f>$B13 * IFERROR(VLOOKUP("LULUCF|SO2|Non-fatal heart attacks", US_national_yearly!$D:$AM, 11, FALSE) / VLOOKUP("LULUCF|SO2|Non-fatal heart attacks", US_national_yearly!$D:$AM, 10, FALSE), 1)</f>
        <v>5.5680744637844518E-5</v>
      </c>
      <c r="D13" s="7">
        <f>$B13 * IFERROR(VLOOKUP("LULUCF|SO2|Non-fatal heart attacks", US_national_yearly!$D:$AM, 12, FALSE) / VLOOKUP("LULUCF|SO2|Non-fatal heart attacks", US_national_yearly!$D:$AM, 10, FALSE), 1)</f>
        <v>5.7268712099983616E-5</v>
      </c>
      <c r="E13" s="7">
        <f>$B13 * IFERROR(VLOOKUP("LULUCF|SO2|Non-fatal heart attacks", US_national_yearly!$D:$AM, 13, FALSE) / VLOOKUP("LULUCF|SO2|Non-fatal heart attacks", US_national_yearly!$D:$AM, 10, FALSE), 1)</f>
        <v>5.8856679562122707E-5</v>
      </c>
      <c r="F13" s="7">
        <f>$B13 * IFERROR(VLOOKUP("LULUCF|SO2|Non-fatal heart attacks", US_national_yearly!$D:$AM, 14, FALSE) / VLOOKUP("LULUCF|SO2|Non-fatal heart attacks", US_national_yearly!$D:$AM, 10, FALSE), 1)</f>
        <v>6.0444647024261784E-5</v>
      </c>
      <c r="G13" s="7">
        <f>$B13 * IFERROR(VLOOKUP("LULUCF|SO2|Non-fatal heart attacks", US_national_yearly!$D:$AM, 15, FALSE) / VLOOKUP("LULUCF|SO2|Non-fatal heart attacks", US_national_yearly!$D:$AM, 10, FALSE), 1)</f>
        <v>6.1942247634039167E-5</v>
      </c>
      <c r="H13" s="7">
        <f>$B13 * IFERROR(VLOOKUP("LULUCF|SO2|Non-fatal heart attacks", US_national_yearly!$D:$AM, 16, FALSE) / VLOOKUP("LULUCF|SO2|Non-fatal heart attacks", US_national_yearly!$D:$AM, 10, FALSE), 1)</f>
        <v>6.343984824381655E-5</v>
      </c>
      <c r="I13" s="7">
        <f>$B13 * IFERROR(VLOOKUP("LULUCF|SO2|Non-fatal heart attacks", US_national_yearly!$D:$AM, 17, FALSE) / VLOOKUP("LULUCF|SO2|Non-fatal heart attacks", US_national_yearly!$D:$AM, 10, FALSE), 1)</f>
        <v>6.4644947258608995E-5</v>
      </c>
      <c r="J13" s="7">
        <f>$B13 * IFERROR(VLOOKUP("LULUCF|SO2|Non-fatal heart attacks", US_national_yearly!$D:$AM, 18, FALSE) / VLOOKUP("LULUCF|SO2|Non-fatal heart attacks", US_national_yearly!$D:$AM, 10, FALSE), 1)</f>
        <v>6.5850046273401453E-5</v>
      </c>
      <c r="K13" s="7">
        <f>$B13 * IFERROR(VLOOKUP("LULUCF|SO2|Non-fatal heart attacks", US_national_yearly!$D:$AM, 19, FALSE) / VLOOKUP("LULUCF|SO2|Non-fatal heart attacks", US_national_yearly!$D:$AM, 10, FALSE), 1)</f>
        <v>6.7055145288193898E-5</v>
      </c>
      <c r="L13" s="7">
        <f>$B13 * IFERROR(VLOOKUP("LULUCF|SO2|Non-fatal heart attacks", US_national_yearly!$D:$AM, 20, FALSE) / VLOOKUP("LULUCF|SO2|Non-fatal heart attacks", US_national_yearly!$D:$AM, 10, FALSE), 1)</f>
        <v>6.826024430298637E-5</v>
      </c>
      <c r="M13" s="7">
        <f>$B13 * IFERROR(VLOOKUP("LULUCF|SO2|Non-fatal heart attacks", US_national_yearly!$D:$AM, 21, FALSE) / VLOOKUP("LULUCF|SO2|Non-fatal heart attacks", US_national_yearly!$D:$AM, 10, FALSE), 1)</f>
        <v>6.9465343317778828E-5</v>
      </c>
      <c r="N13" s="7">
        <f>$B13 * IFERROR(VLOOKUP("LULUCF|SO2|Non-fatal heart attacks", US_national_yearly!$D:$AM, 22, FALSE) / VLOOKUP("LULUCF|SO2|Non-fatal heart attacks", US_national_yearly!$D:$AM, 10, FALSE), 1)</f>
        <v>7.0247828667611344E-5</v>
      </c>
      <c r="O13" s="7">
        <f>$B13 * IFERROR(VLOOKUP("LULUCF|SO2|Non-fatal heart attacks", US_national_yearly!$D:$AM, 23, FALSE) / VLOOKUP("LULUCF|SO2|Non-fatal heart attacks", US_national_yearly!$D:$AM, 10, FALSE), 1)</f>
        <v>7.1030314017443873E-5</v>
      </c>
      <c r="P13" s="7">
        <f>$B13 * IFERROR(VLOOKUP("LULUCF|SO2|Non-fatal heart attacks", US_national_yearly!$D:$AM, 24, FALSE) / VLOOKUP("LULUCF|SO2|Non-fatal heart attacks", US_national_yearly!$D:$AM, 10, FALSE), 1)</f>
        <v>7.1812799367276415E-5</v>
      </c>
      <c r="Q13" s="7">
        <f>$B13 * IFERROR(VLOOKUP("LULUCF|SO2|Non-fatal heart attacks", US_national_yearly!$D:$AM, 25, FALSE) / VLOOKUP("LULUCF|SO2|Non-fatal heart attacks", US_national_yearly!$D:$AM, 10, FALSE), 1)</f>
        <v>7.2595284717108944E-5</v>
      </c>
      <c r="R13" s="7">
        <f>$B13 * IFERROR(VLOOKUP("LULUCF|SO2|Non-fatal heart attacks", US_national_yearly!$D:$AM, 26, FALSE) / VLOOKUP("LULUCF|SO2|Non-fatal heart attacks", US_national_yearly!$D:$AM, 10, FALSE), 1)</f>
        <v>7.337777006694146E-5</v>
      </c>
      <c r="S13" s="7">
        <f>$B13 * IFERROR(VLOOKUP("LULUCF|SO2|Non-fatal heart attacks", US_national_yearly!$D:$AM, 27, FALSE) / VLOOKUP("LULUCF|SO2|Non-fatal heart attacks", US_national_yearly!$D:$AM, 10, FALSE), 1)</f>
        <v>7.3786301266774007E-5</v>
      </c>
      <c r="T13" s="7">
        <f>$B13 * IFERROR(VLOOKUP("LULUCF|SO2|Non-fatal heart attacks", US_national_yearly!$D:$AM, 28, FALSE) / VLOOKUP("LULUCF|SO2|Non-fatal heart attacks", US_national_yearly!$D:$AM, 10, FALSE), 1)</f>
        <v>7.4194832466606541E-5</v>
      </c>
      <c r="U13" s="7">
        <f>$B13 * IFERROR(VLOOKUP("LULUCF|SO2|Non-fatal heart attacks", US_national_yearly!$D:$AM, 29, FALSE) / VLOOKUP("LULUCF|SO2|Non-fatal heart attacks", US_national_yearly!$D:$AM, 10, FALSE), 1)</f>
        <v>7.4603363666439075E-5</v>
      </c>
      <c r="V13" s="7">
        <f>$B13 * IFERROR(VLOOKUP("LULUCF|SO2|Non-fatal heart attacks", US_national_yearly!$D:$AM, 30, FALSE) / VLOOKUP("LULUCF|SO2|Non-fatal heart attacks", US_national_yearly!$D:$AM, 10, FALSE), 1)</f>
        <v>7.5011894866271609E-5</v>
      </c>
      <c r="W13" s="7">
        <f>$B13 * IFERROR(VLOOKUP("LULUCF|SO2|Non-fatal heart attacks", US_national_yearly!$D:$AM, 31, FALSE) / VLOOKUP("LULUCF|SO2|Non-fatal heart attacks", US_national_yearly!$D:$AM, 10, FALSE), 1)</f>
        <v>7.5420426066104157E-5</v>
      </c>
      <c r="X13" s="7">
        <f>$B13 * IFERROR(VLOOKUP("LULUCF|SO2|Non-fatal heart attacks", US_national_yearly!$D:$AM, 32, FALSE) / VLOOKUP("LULUCF|SO2|Non-fatal heart attacks", US_national_yearly!$D:$AM, 10, FALSE), 1)</f>
        <v>7.5728831386180349E-5</v>
      </c>
      <c r="Y13" s="7">
        <f>$B13 * IFERROR(VLOOKUP("LULUCF|SO2|Non-fatal heart attacks", US_national_yearly!$D:$AM, 33, FALSE) / VLOOKUP("LULUCF|SO2|Non-fatal heart attacks", US_national_yearly!$D:$AM, 10, FALSE), 1)</f>
        <v>7.6037236706256528E-5</v>
      </c>
      <c r="Z13" s="7">
        <f>$B13 * IFERROR(VLOOKUP("LULUCF|SO2|Non-fatal heart attacks", US_national_yearly!$D:$AM, 34, FALSE) / VLOOKUP("LULUCF|SO2|Non-fatal heart attacks", US_national_yearly!$D:$AM, 10, FALSE), 1)</f>
        <v>7.6345642026332721E-5</v>
      </c>
      <c r="AA13" s="7">
        <f>$B13 * IFERROR(VLOOKUP("LULUCF|SO2|Non-fatal heart attacks", US_national_yearly!$D:$AM, 35, FALSE) / VLOOKUP("LULUCF|SO2|Non-fatal heart attacks", US_national_yearly!$D:$AM, 10, FALSE), 1)</f>
        <v>7.66540473464089E-5</v>
      </c>
      <c r="AB13" s="7">
        <f>$B13 * IFERROR(VLOOKUP("LULUCF|SO2|Non-fatal heart attacks", US_national_yearly!$D:$AM, 36, FALSE) / VLOOKUP("LULUCF|SO2|Non-fatal heart attacks", US_national_yearly!$D:$AM, 10, FALSE), 1)</f>
        <v>7.6962452666485092E-5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3.1105096899363013E-2</v>
      </c>
      <c r="C14" s="7">
        <f>$B14 * IFERROR(VLOOKUP("LULUCF|SO2|Minor restricted activity days", US_national_yearly!$D:$AM, 11, FALSE) / VLOOKUP("LULUCF|SO2|Minor restricted activity days", US_national_yearly!$D:$AM, 10, FALSE), 1)</f>
        <v>3.1183502484666833E-2</v>
      </c>
      <c r="D14" s="7">
        <f>$B14 * IFERROR(VLOOKUP("LULUCF|SO2|Minor restricted activity days", US_national_yearly!$D:$AM, 12, FALSE) / VLOOKUP("LULUCF|SO2|Minor restricted activity days", US_national_yearly!$D:$AM, 10, FALSE), 1)</f>
        <v>3.1261908069970645E-2</v>
      </c>
      <c r="E14" s="7">
        <f>$B14 * IFERROR(VLOOKUP("LULUCF|SO2|Minor restricted activity days", US_national_yearly!$D:$AM, 13, FALSE) / VLOOKUP("LULUCF|SO2|Minor restricted activity days", US_national_yearly!$D:$AM, 10, FALSE), 1)</f>
        <v>3.1340313655274468E-2</v>
      </c>
      <c r="F14" s="7">
        <f>$B14 * IFERROR(VLOOKUP("LULUCF|SO2|Minor restricted activity days", US_national_yearly!$D:$AM, 14, FALSE) / VLOOKUP("LULUCF|SO2|Minor restricted activity days", US_national_yearly!$D:$AM, 10, FALSE), 1)</f>
        <v>3.1418719240578277E-2</v>
      </c>
      <c r="G14" s="7">
        <f>$B14 * IFERROR(VLOOKUP("LULUCF|SO2|Minor restricted activity days", US_national_yearly!$D:$AM, 15, FALSE) / VLOOKUP("LULUCF|SO2|Minor restricted activity days", US_national_yearly!$D:$AM, 10, FALSE), 1)</f>
        <v>3.1534124559537788E-2</v>
      </c>
      <c r="H14" s="7">
        <f>$B14 * IFERROR(VLOOKUP("LULUCF|SO2|Minor restricted activity days", US_national_yearly!$D:$AM, 16, FALSE) / VLOOKUP("LULUCF|SO2|Minor restricted activity days", US_national_yearly!$D:$AM, 10, FALSE), 1)</f>
        <v>3.1649529878497291E-2</v>
      </c>
      <c r="I14" s="7">
        <f>$B14 * IFERROR(VLOOKUP("LULUCF|SO2|Minor restricted activity days", US_national_yearly!$D:$AM, 17, FALSE) / VLOOKUP("LULUCF|SO2|Minor restricted activity days", US_national_yearly!$D:$AM, 10, FALSE), 1)</f>
        <v>3.1846342892946675E-2</v>
      </c>
      <c r="J14" s="7">
        <f>$B14 * IFERROR(VLOOKUP("LULUCF|SO2|Minor restricted activity days", US_national_yearly!$D:$AM, 18, FALSE) / VLOOKUP("LULUCF|SO2|Minor restricted activity days", US_national_yearly!$D:$AM, 10, FALSE), 1)</f>
        <v>3.2043155907396058E-2</v>
      </c>
      <c r="K14" s="7">
        <f>$B14 * IFERROR(VLOOKUP("LULUCF|SO2|Minor restricted activity days", US_national_yearly!$D:$AM, 19, FALSE) / VLOOKUP("LULUCF|SO2|Minor restricted activity days", US_national_yearly!$D:$AM, 10, FALSE), 1)</f>
        <v>3.2239968921845448E-2</v>
      </c>
      <c r="L14" s="7">
        <f>$B14 * IFERROR(VLOOKUP("LULUCF|SO2|Minor restricted activity days", US_national_yearly!$D:$AM, 20, FALSE) / VLOOKUP("LULUCF|SO2|Minor restricted activity days", US_national_yearly!$D:$AM, 10, FALSE), 1)</f>
        <v>3.2436781936294824E-2</v>
      </c>
      <c r="M14" s="7">
        <f>$B14 * IFERROR(VLOOKUP("LULUCF|SO2|Minor restricted activity days", US_national_yearly!$D:$AM, 21, FALSE) / VLOOKUP("LULUCF|SO2|Minor restricted activity days", US_national_yearly!$D:$AM, 10, FALSE), 1)</f>
        <v>3.2633594950744207E-2</v>
      </c>
      <c r="N14" s="7">
        <f>$B14 * IFERROR(VLOOKUP("LULUCF|SO2|Minor restricted activity days", US_national_yearly!$D:$AM, 22, FALSE) / VLOOKUP("LULUCF|SO2|Minor restricted activity days", US_national_yearly!$D:$AM, 10, FALSE), 1)</f>
        <v>3.2902803574095731E-2</v>
      </c>
      <c r="O14" s="7">
        <f>$B14 * IFERROR(VLOOKUP("LULUCF|SO2|Minor restricted activity days", US_national_yearly!$D:$AM, 23, FALSE) / VLOOKUP("LULUCF|SO2|Minor restricted activity days", US_national_yearly!$D:$AM, 10, FALSE), 1)</f>
        <v>3.3172012197447247E-2</v>
      </c>
      <c r="P14" s="7">
        <f>$B14 * IFERROR(VLOOKUP("LULUCF|SO2|Minor restricted activity days", US_national_yearly!$D:$AM, 24, FALSE) / VLOOKUP("LULUCF|SO2|Minor restricted activity days", US_national_yearly!$D:$AM, 10, FALSE), 1)</f>
        <v>3.344122082079877E-2</v>
      </c>
      <c r="Q14" s="7">
        <f>$B14 * IFERROR(VLOOKUP("LULUCF|SO2|Minor restricted activity days", US_national_yearly!$D:$AM, 25, FALSE) / VLOOKUP("LULUCF|SO2|Minor restricted activity days", US_national_yearly!$D:$AM, 10, FALSE), 1)</f>
        <v>3.3710429444150293E-2</v>
      </c>
      <c r="R14" s="7">
        <f>$B14 * IFERROR(VLOOKUP("LULUCF|SO2|Minor restricted activity days", US_national_yearly!$D:$AM, 26, FALSE) / VLOOKUP("LULUCF|SO2|Minor restricted activity days", US_national_yearly!$D:$AM, 10, FALSE), 1)</f>
        <v>3.3979638067501816E-2</v>
      </c>
      <c r="S14" s="7">
        <f>$B14 * IFERROR(VLOOKUP("LULUCF|SO2|Minor restricted activity days", US_national_yearly!$D:$AM, 27, FALSE) / VLOOKUP("LULUCF|SO2|Minor restricted activity days", US_national_yearly!$D:$AM, 10, FALSE), 1)</f>
        <v>3.4254122607513267E-2</v>
      </c>
      <c r="T14" s="7">
        <f>$B14 * IFERROR(VLOOKUP("LULUCF|SO2|Minor restricted activity days", US_national_yearly!$D:$AM, 28, FALSE) / VLOOKUP("LULUCF|SO2|Minor restricted activity days", US_national_yearly!$D:$AM, 10, FALSE), 1)</f>
        <v>3.4528607147524724E-2</v>
      </c>
      <c r="U14" s="7">
        <f>$B14 * IFERROR(VLOOKUP("LULUCF|SO2|Minor restricted activity days", US_national_yearly!$D:$AM, 29, FALSE) / VLOOKUP("LULUCF|SO2|Minor restricted activity days", US_national_yearly!$D:$AM, 10, FALSE), 1)</f>
        <v>3.4803091687536175E-2</v>
      </c>
      <c r="V14" s="7">
        <f>$B14 * IFERROR(VLOOKUP("LULUCF|SO2|Minor restricted activity days", US_national_yearly!$D:$AM, 30, FALSE) / VLOOKUP("LULUCF|SO2|Minor restricted activity days", US_national_yearly!$D:$AM, 10, FALSE), 1)</f>
        <v>3.5077576227547633E-2</v>
      </c>
      <c r="W14" s="7">
        <f>$B14 * IFERROR(VLOOKUP("LULUCF|SO2|Minor restricted activity days", US_national_yearly!$D:$AM, 31, FALSE) / VLOOKUP("LULUCF|SO2|Minor restricted activity days", US_national_yearly!$D:$AM, 10, FALSE), 1)</f>
        <v>3.535206076755909E-2</v>
      </c>
      <c r="X14" s="7">
        <f>$B14 * IFERROR(VLOOKUP("LULUCF|SO2|Minor restricted activity days", US_national_yearly!$D:$AM, 32, FALSE) / VLOOKUP("LULUCF|SO2|Minor restricted activity days", US_national_yearly!$D:$AM, 10, FALSE), 1)</f>
        <v>3.5593448047151047E-2</v>
      </c>
      <c r="Y14" s="7">
        <f>$B14 * IFERROR(VLOOKUP("LULUCF|SO2|Minor restricted activity days", US_national_yearly!$D:$AM, 33, FALSE) / VLOOKUP("LULUCF|SO2|Minor restricted activity days", US_national_yearly!$D:$AM, 10, FALSE), 1)</f>
        <v>3.5834835326743003E-2</v>
      </c>
      <c r="Z14" s="7">
        <f>$B14 * IFERROR(VLOOKUP("LULUCF|SO2|Minor restricted activity days", US_national_yearly!$D:$AM, 34, FALSE) / VLOOKUP("LULUCF|SO2|Minor restricted activity days", US_national_yearly!$D:$AM, 10, FALSE), 1)</f>
        <v>3.6076222606334973E-2</v>
      </c>
      <c r="AA14" s="7">
        <f>$B14 * IFERROR(VLOOKUP("LULUCF|SO2|Minor restricted activity days", US_national_yearly!$D:$AM, 35, FALSE) / VLOOKUP("LULUCF|SO2|Minor restricted activity days", US_national_yearly!$D:$AM, 10, FALSE), 1)</f>
        <v>3.631760988592693E-2</v>
      </c>
      <c r="AB14" s="7">
        <f>$B14 * IFERROR(VLOOKUP("LULUCF|SO2|Minor restricted activity days", US_national_yearly!$D:$AM, 36, FALSE) / VLOOKUP("LULUCF|SO2|Minor restricted activity days", US_national_yearly!$D:$AM, 10, FALSE), 1)</f>
        <v>3.6558997165518893E-2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5.2127840085063604E-3</v>
      </c>
      <c r="C15" s="7">
        <f>$B15 * IFERROR(VLOOKUP("LULUCF|SO2|Work loss days", US_national_yearly!$D:$AM, 11, FALSE) / VLOOKUP("LULUCF|SO2|Work loss days", US_national_yearly!$D:$AM, 10, FALSE), 1)</f>
        <v>5.2296726001951873E-3</v>
      </c>
      <c r="D15" s="7">
        <f>$B15 * IFERROR(VLOOKUP("LULUCF|SO2|Work loss days", US_national_yearly!$D:$AM, 12, FALSE) / VLOOKUP("LULUCF|SO2|Work loss days", US_national_yearly!$D:$AM, 10, FALSE), 1)</f>
        <v>5.2465611918840142E-3</v>
      </c>
      <c r="E15" s="7">
        <f>$B15 * IFERROR(VLOOKUP("LULUCF|SO2|Work loss days", US_national_yearly!$D:$AM, 13, FALSE) / VLOOKUP("LULUCF|SO2|Work loss days", US_national_yearly!$D:$AM, 10, FALSE), 1)</f>
        <v>5.2634497835728411E-3</v>
      </c>
      <c r="F15" s="7">
        <f>$B15 * IFERROR(VLOOKUP("LULUCF|SO2|Work loss days", US_national_yearly!$D:$AM, 14, FALSE) / VLOOKUP("LULUCF|SO2|Work loss days", US_national_yearly!$D:$AM, 10, FALSE), 1)</f>
        <v>5.280338375261668E-3</v>
      </c>
      <c r="G15" s="7">
        <f>$B15 * IFERROR(VLOOKUP("LULUCF|SO2|Work loss days", US_national_yearly!$D:$AM, 15, FALSE) / VLOOKUP("LULUCF|SO2|Work loss days", US_national_yearly!$D:$AM, 10, FALSE), 1)</f>
        <v>5.3024053867543929E-3</v>
      </c>
      <c r="H15" s="7">
        <f>$B15 * IFERROR(VLOOKUP("LULUCF|SO2|Work loss days", US_national_yearly!$D:$AM, 16, FALSE) / VLOOKUP("LULUCF|SO2|Work loss days", US_national_yearly!$D:$AM, 10, FALSE), 1)</f>
        <v>5.3244723982471161E-3</v>
      </c>
      <c r="I15" s="7">
        <f>$B15 * IFERROR(VLOOKUP("LULUCF|SO2|Work loss days", US_national_yearly!$D:$AM, 17, FALSE) / VLOOKUP("LULUCF|SO2|Work loss days", US_national_yearly!$D:$AM, 10, FALSE), 1)</f>
        <v>5.3567534737783903E-3</v>
      </c>
      <c r="J15" s="7">
        <f>$B15 * IFERROR(VLOOKUP("LULUCF|SO2|Work loss days", US_national_yearly!$D:$AM, 18, FALSE) / VLOOKUP("LULUCF|SO2|Work loss days", US_national_yearly!$D:$AM, 10, FALSE), 1)</f>
        <v>5.3890345493096637E-3</v>
      </c>
      <c r="K15" s="7">
        <f>$B15 * IFERROR(VLOOKUP("LULUCF|SO2|Work loss days", US_national_yearly!$D:$AM, 19, FALSE) / VLOOKUP("LULUCF|SO2|Work loss days", US_national_yearly!$D:$AM, 10, FALSE), 1)</f>
        <v>5.421315624840938E-3</v>
      </c>
      <c r="L15" s="7">
        <f>$B15 * IFERROR(VLOOKUP("LULUCF|SO2|Work loss days", US_national_yearly!$D:$AM, 20, FALSE) / VLOOKUP("LULUCF|SO2|Work loss days", US_national_yearly!$D:$AM, 10, FALSE), 1)</f>
        <v>5.4535967003722123E-3</v>
      </c>
      <c r="M15" s="7">
        <f>$B15 * IFERROR(VLOOKUP("LULUCF|SO2|Work loss days", US_national_yearly!$D:$AM, 21, FALSE) / VLOOKUP("LULUCF|SO2|Work loss days", US_national_yearly!$D:$AM, 10, FALSE), 1)</f>
        <v>5.4858777759034865E-3</v>
      </c>
      <c r="N15" s="7">
        <f>$B15 * IFERROR(VLOOKUP("LULUCF|SO2|Work loss days", US_national_yearly!$D:$AM, 22, FALSE) / VLOOKUP("LULUCF|SO2|Work loss days", US_national_yearly!$D:$AM, 10, FALSE), 1)</f>
        <v>5.5263530134527514E-3</v>
      </c>
      <c r="O15" s="7">
        <f>$B15 * IFERROR(VLOOKUP("LULUCF|SO2|Work loss days", US_national_yearly!$D:$AM, 23, FALSE) / VLOOKUP("LULUCF|SO2|Work loss days", US_national_yearly!$D:$AM, 10, FALSE), 1)</f>
        <v>5.5668282510020163E-3</v>
      </c>
      <c r="P15" s="7">
        <f>$B15 * IFERROR(VLOOKUP("LULUCF|SO2|Work loss days", US_national_yearly!$D:$AM, 24, FALSE) / VLOOKUP("LULUCF|SO2|Work loss days", US_national_yearly!$D:$AM, 10, FALSE), 1)</f>
        <v>5.6073034885512803E-3</v>
      </c>
      <c r="Q15" s="7">
        <f>$B15 * IFERROR(VLOOKUP("LULUCF|SO2|Work loss days", US_national_yearly!$D:$AM, 25, FALSE) / VLOOKUP("LULUCF|SO2|Work loss days", US_national_yearly!$D:$AM, 10, FALSE), 1)</f>
        <v>5.6477787261005451E-3</v>
      </c>
      <c r="R15" s="7">
        <f>$B15 * IFERROR(VLOOKUP("LULUCF|SO2|Work loss days", US_national_yearly!$D:$AM, 26, FALSE) / VLOOKUP("LULUCF|SO2|Work loss days", US_national_yearly!$D:$AM, 10, FALSE), 1)</f>
        <v>5.68825396364981E-3</v>
      </c>
      <c r="S15" s="7">
        <f>$B15 * IFERROR(VLOOKUP("LULUCF|SO2|Work loss days", US_national_yearly!$D:$AM, 27, FALSE) / VLOOKUP("LULUCF|SO2|Work loss days", US_national_yearly!$D:$AM, 10, FALSE), 1)</f>
        <v>5.7334849081659596E-3</v>
      </c>
      <c r="T15" s="7">
        <f>$B15 * IFERROR(VLOOKUP("LULUCF|SO2|Work loss days", US_national_yearly!$D:$AM, 28, FALSE) / VLOOKUP("LULUCF|SO2|Work loss days", US_national_yearly!$D:$AM, 10, FALSE), 1)</f>
        <v>5.7787158526821101E-3</v>
      </c>
      <c r="U15" s="7">
        <f>$B15 * IFERROR(VLOOKUP("LULUCF|SO2|Work loss days", US_national_yearly!$D:$AM, 29, FALSE) / VLOOKUP("LULUCF|SO2|Work loss days", US_national_yearly!$D:$AM, 10, FALSE), 1)</f>
        <v>5.8239467971982588E-3</v>
      </c>
      <c r="V15" s="7">
        <f>$B15 * IFERROR(VLOOKUP("LULUCF|SO2|Work loss days", US_national_yearly!$D:$AM, 30, FALSE) / VLOOKUP("LULUCF|SO2|Work loss days", US_national_yearly!$D:$AM, 10, FALSE), 1)</f>
        <v>5.8691777417144084E-3</v>
      </c>
      <c r="W15" s="7">
        <f>$B15 * IFERROR(VLOOKUP("LULUCF|SO2|Work loss days", US_national_yearly!$D:$AM, 31, FALSE) / VLOOKUP("LULUCF|SO2|Work loss days", US_national_yearly!$D:$AM, 10, FALSE), 1)</f>
        <v>5.9144086862305588E-3</v>
      </c>
      <c r="X15" s="7">
        <f>$B15 * IFERROR(VLOOKUP("LULUCF|SO2|Work loss days", US_national_yearly!$D:$AM, 32, FALSE) / VLOOKUP("LULUCF|SO2|Work loss days", US_national_yearly!$D:$AM, 10, FALSE), 1)</f>
        <v>5.9550198399257589E-3</v>
      </c>
      <c r="Y15" s="7">
        <f>$B15 * IFERROR(VLOOKUP("LULUCF|SO2|Work loss days", US_national_yearly!$D:$AM, 33, FALSE) / VLOOKUP("LULUCF|SO2|Work loss days", US_national_yearly!$D:$AM, 10, FALSE), 1)</f>
        <v>5.9956309936209599E-3</v>
      </c>
      <c r="Z15" s="7">
        <f>$B15 * IFERROR(VLOOKUP("LULUCF|SO2|Work loss days", US_national_yearly!$D:$AM, 34, FALSE) / VLOOKUP("LULUCF|SO2|Work loss days", US_national_yearly!$D:$AM, 10, FALSE), 1)</f>
        <v>6.0362421473161608E-3</v>
      </c>
      <c r="AA15" s="7">
        <f>$B15 * IFERROR(VLOOKUP("LULUCF|SO2|Work loss days", US_national_yearly!$D:$AM, 35, FALSE) / VLOOKUP("LULUCF|SO2|Work loss days", US_national_yearly!$D:$AM, 10, FALSE), 1)</f>
        <v>6.0768533010113618E-3</v>
      </c>
      <c r="AB15" s="7">
        <f>$B15 * IFERROR(VLOOKUP("LULUCF|SO2|Work loss days", US_national_yearly!$D:$AM, 36, FALSE) / VLOOKUP("LULUCF|SO2|Work loss days", US_national_yearly!$D:$AM, 10, FALSE), 1)</f>
        <v>6.1174644547065627E-3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1.3941860895127014E-5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1.4363516157861299E-5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1.4785171420595583E-5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1.5206826683329869E-5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1.5628481946064156E-5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1.6032387594614883E-5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1.643629324316561E-5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1.6782361562474347E-5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1.7128429881783083E-5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1.747449820109182E-5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1.7820566520400557E-5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1.816663483970929E-5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1.8399113919461369E-5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1.8631592999213449E-5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1.8864072078965525E-5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1.9096551158717605E-5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1.9329030238469685E-5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1.945129768189334E-5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1.9573565125316992E-5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1.9695832568740648E-5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1.9818100012164304E-5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1.9940367455587959E-5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2.0022449632211135E-5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2.0104531808834311E-5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2.018661398545749E-5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2.026869616208067E-5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2.0350778338703842E-5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2026-06-15T17:14:20Z</dcterms:modified>
</cp:coreProperties>
</file>