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AR\add-outputs\NoH\"/>
    </mc:Choice>
  </mc:AlternateContent>
  <xr:revisionPtr revIDLastSave="0" documentId="8_{354E7067-B57B-46F8-B852-EDC133C65378}"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L2" i="3"/>
  <c r="D2" i="3"/>
  <c r="Z2" i="3"/>
  <c r="W2" i="3"/>
  <c r="E2" i="3"/>
  <c r="AA2" i="3"/>
  <c r="S2" i="3"/>
  <c r="F2" i="3"/>
  <c r="AB2" i="3"/>
  <c r="R2" i="3"/>
  <c r="G2" i="3"/>
  <c r="AC2" i="3"/>
  <c r="H2" i="3"/>
  <c r="AD2" i="3"/>
  <c r="I2" i="3"/>
  <c r="AE2" i="3"/>
  <c r="U2" i="3"/>
  <c r="X2" i="3"/>
  <c r="J2" i="3"/>
  <c r="B2" i="3"/>
  <c r="K2" i="3"/>
  <c r="M2" i="3"/>
  <c r="N2" i="3"/>
  <c r="O2" i="3"/>
  <c r="Q2" i="3"/>
  <c r="T2" i="3"/>
  <c r="V2" i="3"/>
  <c r="P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<sst xmlns="http://schemas.openxmlformats.org/spreadsheetml/2006/main" count="1069" uniqueCount="448">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</sst>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332</v>
      </c>
      <c r="C1" s="68">
        <v>46185</v>
      </c>
      <c r="H1" t="s">
        <v>324</v>
      </c>
      <c r="I1" t="s">
        <v>325</v>
      </c>
    </row>
    <row r="2" spans="1:9" x14ac:dyDescent="0.25">
      <c r="B2" t="str">
        <f>VLOOKUP(B1,H2:I52,2)</f>
        <v>AR</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1205788.5582315554</v>
      </c>
      <c r="C2">
        <f>SUMIFS('state calcs'!C62:C112,'state calcs'!$A$62:$A$112,About!$B$2)</f>
        <v>1220971.0540015076</v>
      </c>
      <c r="D2">
        <f>SUMIFS('state calcs'!D62:D112,'state calcs'!$A$62:$A$112,About!$B$2)</f>
        <v>1228884.0911772309</v>
      </c>
      <c r="E2">
        <f>SUMIFS('state calcs'!E62:E112,'state calcs'!$A$62:$A$112,About!$B$2)</f>
        <v>1236788.3494959734</v>
      </c>
      <c r="F2">
        <f>SUMIFS('state calcs'!F62:F112,'state calcs'!$A$62:$A$112,About!$B$2)</f>
        <v>1244921.3273583429</v>
      </c>
      <c r="G2">
        <f>SUMIFS('state calcs'!G62:G112,'state calcs'!$A$62:$A$112,About!$B$2)</f>
        <v>1252992.1413849075</v>
      </c>
      <c r="H2">
        <f>SUMIFS('state calcs'!H62:H112,'state calcs'!$A$62:$A$112,About!$B$2)</f>
        <v>1261090.8420682054</v>
      </c>
      <c r="I2">
        <f>SUMIFS('state calcs'!I62:I112,'state calcs'!$A$62:$A$112,About!$B$2)</f>
        <v>1269240.5766979358</v>
      </c>
      <c r="J2">
        <f>SUMIFS('state calcs'!J62:J112,'state calcs'!$A$62:$A$112,About!$B$2)</f>
        <v>1277272.4455613806</v>
      </c>
      <c r="K2">
        <f>SUMIFS('state calcs'!K62:K112,'state calcs'!$A$62:$A$112,About!$B$2)</f>
        <v>1284983.2926289767</v>
      </c>
      <c r="L2">
        <f>SUMIFS('state calcs'!L62:L112,'state calcs'!$A$62:$A$112,About!$B$2)</f>
        <v>1290581.3592244459</v>
      </c>
      <c r="M2">
        <f>SUMIFS('state calcs'!M62:M112,'state calcs'!$A$62:$A$112,About!$B$2)</f>
        <v>1296044.6039254586</v>
      </c>
      <c r="N2">
        <f>SUMIFS('state calcs'!N62:N112,'state calcs'!$A$62:$A$112,About!$B$2)</f>
        <v>1301220.480024152</v>
      </c>
      <c r="O2">
        <f>SUMIFS('state calcs'!O62:O112,'state calcs'!$A$62:$A$112,About!$B$2)</f>
        <v>1306017.6158627083</v>
      </c>
      <c r="P2">
        <f>SUMIFS('state calcs'!P62:P112,'state calcs'!$A$62:$A$112,About!$B$2)</f>
        <v>1310628.3305122675</v>
      </c>
      <c r="Q2">
        <f>SUMIFS('state calcs'!Q62:Q112,'state calcs'!$A$62:$A$112,About!$B$2)</f>
        <v>1315206.5200430325</v>
      </c>
      <c r="R2">
        <f>SUMIFS('state calcs'!R62:R112,'state calcs'!$A$62:$A$112,About!$B$2)</f>
        <v>1319674.7362024796</v>
      </c>
      <c r="S2">
        <f>SUMIFS('state calcs'!S62:S112,'state calcs'!$A$62:$A$112,About!$B$2)</f>
        <v>1324056.1171710936</v>
      </c>
      <c r="T2">
        <f>SUMIFS('state calcs'!T62:T112,'state calcs'!$A$62:$A$112,About!$B$2)</f>
        <v>1328321.5460050961</v>
      </c>
      <c r="U2">
        <f>SUMIFS('state calcs'!U62:U112,'state calcs'!$A$62:$A$112,About!$B$2)</f>
        <v>1332652.6017661404</v>
      </c>
      <c r="V2">
        <f>SUMIFS('state calcs'!V62:V112,'state calcs'!$A$62:$A$112,About!$B$2)</f>
        <v>1336549.1727805606</v>
      </c>
      <c r="W2">
        <f>SUMIFS('state calcs'!W62:W112,'state calcs'!$A$62:$A$112,About!$B$2)</f>
        <v>1340243.8025992636</v>
      </c>
      <c r="X2">
        <f>SUMIFS('state calcs'!X62:X112,'state calcs'!$A$62:$A$112,About!$B$2)</f>
        <v>1343810.8066150965</v>
      </c>
      <c r="Y2">
        <f>SUMIFS('state calcs'!Y62:Y112,'state calcs'!$A$62:$A$112,About!$B$2)</f>
        <v>1347258.4646202615</v>
      </c>
      <c r="Z2">
        <f>SUMIFS('state calcs'!Z62:Z112,'state calcs'!$A$62:$A$112,About!$B$2)</f>
        <v>1350597.6654692499</v>
      </c>
      <c r="AA2">
        <f>SUMIFS('state calcs'!AA62:AA112,'state calcs'!$A$62:$A$112,About!$B$2)</f>
        <v>1353795.7768520252</v>
      </c>
      <c r="AB2">
        <f>SUMIFS('state calcs'!AB62:AB112,'state calcs'!$A$62:$A$112,About!$B$2)</f>
        <v>1356911.2670969218</v>
      </c>
      <c r="AC2">
        <f>SUMIFS('state calcs'!AC62:AC112,'state calcs'!$A$62:$A$112,About!$B$2)</f>
        <v>1359881.6318786836</v>
      </c>
      <c r="AD2">
        <f>SUMIFS('state calcs'!AD62:AD112,'state calcs'!$A$62:$A$112,About!$B$2)</f>
        <v>1362699.1924827783</v>
      </c>
      <c r="AE2">
        <f>SUMIFS('state calcs'!AE62:AE112,'state calcs'!$A$62:$A$112,About!$B$2)</f>
        <v>1365392.3924111687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2026-06-12T19:27:57Z</dcterms:modified>
</cp:coreProperties>
</file>